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C:\Users\rishi\Downloads\"/>
    </mc:Choice>
  </mc:AlternateContent>
  <xr:revisionPtr revIDLastSave="0" documentId="13_ncr:1_{67E8AABF-A1E0-4E0C-A20A-313FCBEB3119}" xr6:coauthVersionLast="47" xr6:coauthVersionMax="47" xr10:uidLastSave="{00000000-0000-0000-0000-000000000000}"/>
  <bookViews>
    <workbookView xWindow="-120" yWindow="-120" windowWidth="29040" windowHeight="16440" tabRatio="500" firstSheet="1" activeTab="2" xr2:uid="{00000000-000D-0000-FFFF-FFFF00000000}"/>
  </bookViews>
  <sheets>
    <sheet name="Product_Master" sheetId="1" r:id="rId1"/>
    <sheet name="Demand-Pivot" sheetId="9" r:id="rId2"/>
    <sheet name="Demand_Data" sheetId="2" r:id="rId3"/>
    <sheet name="Inventory_Snapshot" sheetId="3" r:id="rId4"/>
    <sheet name="Supplier_Master" sheetId="4" r:id="rId5"/>
    <sheet name="Purchase_Orders" sheetId="5" r:id="rId6"/>
    <sheet name="Bull whip " sheetId="11" r:id="rId7"/>
    <sheet name=" S&amp;OP summary" sheetId="12" r:id="rId8"/>
  </sheets>
  <definedNames>
    <definedName name="_xlcn.WorksheetConnection_SC_MNC_Raw_Data.xlsxTable31" hidden="1">Table3[]</definedName>
    <definedName name="Slicer_Product">#N/A</definedName>
    <definedName name="Slicer_region">#N/A</definedName>
  </definedNames>
  <calcPr calcId="191029" iterateDelta="1E-4"/>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SC_MNC_Raw_Data.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 i="12" l="1"/>
  <c r="I4" i="12"/>
  <c r="I5" i="12"/>
  <c r="I6" i="12"/>
  <c r="I7" i="12"/>
  <c r="I8" i="12"/>
  <c r="I9" i="12"/>
  <c r="I10" i="12"/>
  <c r="I11" i="12"/>
  <c r="I12" i="12"/>
  <c r="I13" i="12"/>
  <c r="I14" i="12"/>
  <c r="I15" i="12"/>
  <c r="I16" i="12"/>
  <c r="I2" i="12"/>
  <c r="H3" i="12"/>
  <c r="H4" i="12"/>
  <c r="H5" i="12"/>
  <c r="H6" i="12"/>
  <c r="H7" i="12"/>
  <c r="H8" i="12"/>
  <c r="H9" i="12"/>
  <c r="H10" i="12"/>
  <c r="H11" i="12"/>
  <c r="H12" i="12"/>
  <c r="H13" i="12"/>
  <c r="H14" i="12"/>
  <c r="H15" i="12"/>
  <c r="H16" i="12"/>
  <c r="H2" i="12"/>
  <c r="G3" i="12"/>
  <c r="G4" i="12"/>
  <c r="G5" i="12"/>
  <c r="G6" i="12"/>
  <c r="G7" i="12"/>
  <c r="G8" i="12"/>
  <c r="G9" i="12"/>
  <c r="G10" i="12"/>
  <c r="G11" i="12"/>
  <c r="G12" i="12"/>
  <c r="G13" i="12"/>
  <c r="G14" i="12"/>
  <c r="G15" i="12"/>
  <c r="G16" i="12"/>
  <c r="G2" i="12"/>
  <c r="F3" i="12"/>
  <c r="F4" i="12"/>
  <c r="F5" i="12"/>
  <c r="F6" i="12"/>
  <c r="F7" i="12"/>
  <c r="F8" i="12"/>
  <c r="F9" i="12"/>
  <c r="F10" i="12"/>
  <c r="F11" i="12"/>
  <c r="F12" i="12"/>
  <c r="F13" i="12"/>
  <c r="F14" i="12"/>
  <c r="F15" i="12"/>
  <c r="F16" i="12"/>
  <c r="F2" i="1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2" i="2"/>
  <c r="E3" i="12"/>
  <c r="E4" i="12"/>
  <c r="E5" i="12"/>
  <c r="E6" i="12"/>
  <c r="E7" i="12"/>
  <c r="E8" i="12"/>
  <c r="E9" i="12"/>
  <c r="E10" i="12"/>
  <c r="E11" i="12"/>
  <c r="E12" i="12"/>
  <c r="E13" i="12"/>
  <c r="E14" i="12"/>
  <c r="E15" i="12"/>
  <c r="E16" i="12"/>
  <c r="E2" i="12"/>
  <c r="D3" i="12"/>
  <c r="D4" i="12"/>
  <c r="D5" i="12"/>
  <c r="D6" i="12"/>
  <c r="D7" i="12"/>
  <c r="D8" i="12"/>
  <c r="D9" i="12"/>
  <c r="D10" i="12"/>
  <c r="D11" i="12"/>
  <c r="D12" i="12"/>
  <c r="D13" i="12"/>
  <c r="D14" i="12"/>
  <c r="D15" i="12"/>
  <c r="D16" i="12"/>
  <c r="D2" i="12"/>
  <c r="C3" i="12"/>
  <c r="C4" i="12"/>
  <c r="C5" i="12"/>
  <c r="C6" i="12"/>
  <c r="C7" i="12"/>
  <c r="C8" i="12"/>
  <c r="C9" i="12"/>
  <c r="C10" i="12"/>
  <c r="C11" i="12"/>
  <c r="C12" i="12"/>
  <c r="C13" i="12"/>
  <c r="C14" i="12"/>
  <c r="C15" i="12"/>
  <c r="C16" i="12"/>
  <c r="C2" i="12"/>
  <c r="B3" i="12"/>
  <c r="B4" i="12"/>
  <c r="B5" i="12"/>
  <c r="B6" i="12"/>
  <c r="B7" i="12"/>
  <c r="B8" i="12"/>
  <c r="B9" i="12"/>
  <c r="B10" i="12"/>
  <c r="B11" i="12"/>
  <c r="B12" i="12"/>
  <c r="B13" i="12"/>
  <c r="B14" i="12"/>
  <c r="B15" i="12"/>
  <c r="B16" i="12"/>
  <c r="B2" i="12"/>
  <c r="A3" i="12"/>
  <c r="A4" i="12"/>
  <c r="A5" i="12"/>
  <c r="A6" i="12"/>
  <c r="A7" i="12"/>
  <c r="A8" i="12"/>
  <c r="A9" i="12"/>
  <c r="A10" i="12"/>
  <c r="A11" i="12"/>
  <c r="A12" i="12"/>
  <c r="A13" i="12"/>
  <c r="A14" i="12"/>
  <c r="A15" i="12"/>
  <c r="A16" i="12"/>
  <c r="A2" i="12"/>
  <c r="I3" i="11"/>
  <c r="I4" i="11"/>
  <c r="I5" i="11"/>
  <c r="I6" i="11"/>
  <c r="I7" i="11"/>
  <c r="I8" i="11"/>
  <c r="I9" i="11"/>
  <c r="I10" i="11"/>
  <c r="I11" i="11"/>
  <c r="I12" i="11"/>
  <c r="I13" i="11"/>
  <c r="I14" i="11"/>
  <c r="I15" i="11"/>
  <c r="I16" i="11"/>
  <c r="I2" i="11"/>
  <c r="F3" i="11" a="1"/>
  <c r="F3" i="11" s="1"/>
  <c r="G3" i="11" s="1"/>
  <c r="F4" i="11" a="1"/>
  <c r="F4" i="11" s="1"/>
  <c r="G4" i="11" s="1"/>
  <c r="F5" i="11" a="1"/>
  <c r="F5" i="11" s="1"/>
  <c r="G5" i="11" s="1"/>
  <c r="F6" i="11" a="1"/>
  <c r="F6" i="11" s="1"/>
  <c r="G6" i="11" s="1"/>
  <c r="F7" i="11" a="1"/>
  <c r="F7" i="11" s="1"/>
  <c r="G7" i="11" s="1"/>
  <c r="F8" i="11" a="1"/>
  <c r="F8" i="11" s="1"/>
  <c r="G8" i="11" s="1"/>
  <c r="F9" i="11" a="1"/>
  <c r="F9" i="11" s="1"/>
  <c r="G9" i="11" s="1"/>
  <c r="F10" i="11" a="1"/>
  <c r="F10" i="11" s="1"/>
  <c r="G10" i="11" s="1"/>
  <c r="F11" i="11" a="1"/>
  <c r="F11" i="11" s="1"/>
  <c r="G11" i="11" s="1"/>
  <c r="F12" i="11" a="1"/>
  <c r="F12" i="11" s="1"/>
  <c r="G12" i="11" s="1"/>
  <c r="F13" i="11" a="1"/>
  <c r="F13" i="11" s="1"/>
  <c r="G13" i="11" s="1"/>
  <c r="F14" i="11" a="1"/>
  <c r="F14" i="11" s="1"/>
  <c r="G14" i="11" s="1"/>
  <c r="F15" i="11" a="1"/>
  <c r="F15" i="11"/>
  <c r="G15" i="11" s="1"/>
  <c r="F16" i="11" a="1"/>
  <c r="F16" i="11" s="1"/>
  <c r="G16" i="11" s="1"/>
  <c r="F2" i="11" a="1"/>
  <c r="F2" i="11" s="1"/>
  <c r="G2" i="11" s="1"/>
  <c r="E3" i="11"/>
  <c r="E4" i="11"/>
  <c r="E5" i="11"/>
  <c r="E6" i="11"/>
  <c r="E7" i="11"/>
  <c r="E8" i="11"/>
  <c r="E9" i="11"/>
  <c r="E10" i="11"/>
  <c r="E11" i="11"/>
  <c r="E12" i="11"/>
  <c r="E13" i="11"/>
  <c r="E14" i="11"/>
  <c r="E15" i="11"/>
  <c r="E16" i="11"/>
  <c r="E2" i="11"/>
  <c r="C3" i="11" a="1"/>
  <c r="C3" i="11" s="1"/>
  <c r="D3" i="11" s="1"/>
  <c r="C4" i="11" a="1"/>
  <c r="C4" i="11" s="1"/>
  <c r="D4" i="11" s="1"/>
  <c r="C5" i="11" a="1"/>
  <c r="C5" i="11" s="1"/>
  <c r="D5" i="11" s="1"/>
  <c r="C6" i="11" a="1"/>
  <c r="C6" i="11" s="1"/>
  <c r="D6" i="11" s="1"/>
  <c r="C7" i="11" a="1"/>
  <c r="C7" i="11" s="1"/>
  <c r="D7" i="11" s="1"/>
  <c r="C8" i="11" a="1"/>
  <c r="C8" i="11" s="1"/>
  <c r="D8" i="11" s="1"/>
  <c r="C9" i="11" a="1"/>
  <c r="C9" i="11" s="1"/>
  <c r="D9" i="11" s="1"/>
  <c r="C10" i="11" a="1"/>
  <c r="C10" i="11" s="1"/>
  <c r="D10" i="11" s="1"/>
  <c r="C11" i="11" a="1"/>
  <c r="C11" i="11" s="1"/>
  <c r="D11" i="11" s="1"/>
  <c r="C12" i="11" a="1"/>
  <c r="C12" i="11" s="1"/>
  <c r="D12" i="11" s="1"/>
  <c r="C13" i="11" a="1"/>
  <c r="C13" i="11" s="1"/>
  <c r="D13" i="11" s="1"/>
  <c r="C14" i="11" a="1"/>
  <c r="C14" i="11" s="1"/>
  <c r="D14" i="11" s="1"/>
  <c r="C15" i="11" a="1"/>
  <c r="C15" i="11" s="1"/>
  <c r="D15" i="11" s="1"/>
  <c r="C16" i="11" a="1"/>
  <c r="C16" i="11" s="1"/>
  <c r="D16" i="11" s="1"/>
  <c r="C2" i="11" a="1"/>
  <c r="C2" i="11" s="1"/>
  <c r="D2" i="11" s="1"/>
  <c r="B3" i="11"/>
  <c r="B4" i="11"/>
  <c r="B5" i="11"/>
  <c r="B6" i="11"/>
  <c r="B7" i="11"/>
  <c r="B8" i="11"/>
  <c r="B9" i="11"/>
  <c r="B10" i="11"/>
  <c r="B11" i="11"/>
  <c r="B12" i="11"/>
  <c r="B13" i="11"/>
  <c r="B14" i="11"/>
  <c r="B15" i="11"/>
  <c r="B16" i="11"/>
  <c r="B2" i="11"/>
  <c r="A16" i="11"/>
  <c r="A3" i="11"/>
  <c r="A4" i="11"/>
  <c r="A5" i="11"/>
  <c r="A6" i="11"/>
  <c r="A7" i="11"/>
  <c r="A8" i="11"/>
  <c r="A9" i="11"/>
  <c r="A10" i="11"/>
  <c r="A11" i="11"/>
  <c r="A12" i="11"/>
  <c r="A13" i="11"/>
  <c r="A14" i="11"/>
  <c r="A15" i="11"/>
  <c r="A2" i="11"/>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2" i="3"/>
  <c r="T3" i="1"/>
  <c r="T4" i="1"/>
  <c r="T5" i="1"/>
  <c r="T6" i="1"/>
  <c r="T7" i="1"/>
  <c r="T8" i="1"/>
  <c r="T9" i="1"/>
  <c r="T10" i="1"/>
  <c r="T11" i="1"/>
  <c r="T12" i="1"/>
  <c r="T13" i="1"/>
  <c r="T14" i="1"/>
  <c r="T15" i="1"/>
  <c r="T16" i="1"/>
  <c r="T2" i="1"/>
  <c r="Q2" i="1"/>
  <c r="R2" i="1" s="1"/>
  <c r="Q3" i="1"/>
  <c r="R3" i="1" s="1"/>
  <c r="Q4" i="1"/>
  <c r="R4" i="1" s="1"/>
  <c r="Q5" i="1"/>
  <c r="R5" i="1" s="1"/>
  <c r="Q6" i="1"/>
  <c r="R6" i="1" s="1"/>
  <c r="Q7" i="1"/>
  <c r="R7" i="1" s="1"/>
  <c r="Q8" i="1"/>
  <c r="R8" i="1" s="1"/>
  <c r="Q9" i="1"/>
  <c r="R9" i="1" s="1"/>
  <c r="Q10" i="1"/>
  <c r="R10" i="1" s="1"/>
  <c r="Q11" i="1"/>
  <c r="R11" i="1" s="1"/>
  <c r="Q12" i="1"/>
  <c r="R12" i="1" s="1"/>
  <c r="Q13" i="1"/>
  <c r="R13" i="1" s="1"/>
  <c r="Q14" i="1"/>
  <c r="R14" i="1" s="1"/>
  <c r="Q15" i="1"/>
  <c r="R15" i="1" s="1"/>
  <c r="Q16" i="1"/>
  <c r="R16" i="1" s="1"/>
  <c r="O3" i="1"/>
  <c r="O4" i="1"/>
  <c r="O5" i="1"/>
  <c r="O6" i="1"/>
  <c r="O7" i="1"/>
  <c r="O8" i="1"/>
  <c r="O9" i="1"/>
  <c r="O10" i="1"/>
  <c r="O11" i="1"/>
  <c r="O12" i="1"/>
  <c r="O13" i="1"/>
  <c r="O14" i="1"/>
  <c r="O15" i="1"/>
  <c r="O16" i="1"/>
  <c r="O2" i="1"/>
  <c r="M3" i="1"/>
  <c r="M4" i="1"/>
  <c r="M5" i="1"/>
  <c r="M6" i="1"/>
  <c r="M7" i="1"/>
  <c r="M8" i="1"/>
  <c r="M9" i="1"/>
  <c r="M10" i="1"/>
  <c r="M11" i="1"/>
  <c r="M12" i="1"/>
  <c r="M13" i="1"/>
  <c r="M14" i="1"/>
  <c r="M15" i="1"/>
  <c r="M16" i="1"/>
  <c r="M2" i="1"/>
  <c r="U35" i="2"/>
  <c r="U36" i="2"/>
  <c r="U37" i="2"/>
  <c r="U38" i="2"/>
  <c r="U39" i="2"/>
  <c r="U40" i="2"/>
  <c r="U41" i="2"/>
  <c r="U42" i="2"/>
  <c r="U43" i="2"/>
  <c r="U44" i="2"/>
  <c r="U45" i="2"/>
  <c r="U46"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2" i="2"/>
  <c r="T10" i="2"/>
  <c r="T9" i="2"/>
  <c r="T8" i="2"/>
  <c r="T46" i="2"/>
  <c r="T45" i="2"/>
  <c r="T44" i="2"/>
  <c r="T43" i="2"/>
  <c r="T42" i="2"/>
  <c r="T41" i="2"/>
  <c r="T40" i="2"/>
  <c r="T39" i="2"/>
  <c r="T38" i="2"/>
  <c r="T37" i="2"/>
  <c r="T36" i="2"/>
  <c r="T35" i="2"/>
  <c r="T34" i="2"/>
  <c r="T33" i="2"/>
  <c r="T32" i="2"/>
  <c r="T31" i="2"/>
  <c r="T30" i="2"/>
  <c r="T29" i="2"/>
  <c r="T26" i="2"/>
  <c r="T28" i="2"/>
  <c r="T27" i="2"/>
  <c r="T25" i="2"/>
  <c r="T24" i="2"/>
  <c r="T23" i="2"/>
  <c r="T22" i="2"/>
  <c r="T21" i="2"/>
  <c r="T20" i="2"/>
  <c r="T19" i="2"/>
  <c r="T18" i="2"/>
  <c r="T17" i="2"/>
  <c r="T16" i="2"/>
  <c r="T15" i="2"/>
  <c r="T14" i="2"/>
  <c r="T13" i="2"/>
  <c r="T12" i="2"/>
  <c r="T11" i="2"/>
  <c r="T7" i="2"/>
  <c r="T6" i="2"/>
  <c r="T5" i="2"/>
  <c r="N3" i="2"/>
  <c r="Q2" i="2"/>
  <c r="O3" i="2"/>
  <c r="P3" i="2" s="1"/>
  <c r="O4" i="2"/>
  <c r="P4" i="2" s="1"/>
  <c r="O5" i="2"/>
  <c r="P5" i="2" s="1"/>
  <c r="O6" i="2"/>
  <c r="P6" i="2" s="1"/>
  <c r="O7" i="2"/>
  <c r="P7" i="2" s="1"/>
  <c r="O8" i="2"/>
  <c r="P8" i="2" s="1"/>
  <c r="O9" i="2"/>
  <c r="P9" i="2" s="1"/>
  <c r="O10" i="2"/>
  <c r="P10" i="2" s="1"/>
  <c r="O11" i="2"/>
  <c r="P11" i="2" s="1"/>
  <c r="O12" i="2"/>
  <c r="P12" i="2" s="1"/>
  <c r="O13" i="2"/>
  <c r="P13" i="2" s="1"/>
  <c r="O14" i="2"/>
  <c r="P14" i="2" s="1"/>
  <c r="O15" i="2"/>
  <c r="P15" i="2" s="1"/>
  <c r="O16" i="2"/>
  <c r="P16" i="2" s="1"/>
  <c r="O17" i="2"/>
  <c r="P17" i="2" s="1"/>
  <c r="O18" i="2"/>
  <c r="P18" i="2" s="1"/>
  <c r="O19" i="2"/>
  <c r="P19" i="2" s="1"/>
  <c r="O20" i="2"/>
  <c r="P20" i="2" s="1"/>
  <c r="O21" i="2"/>
  <c r="P21" i="2" s="1"/>
  <c r="O22" i="2"/>
  <c r="P22" i="2" s="1"/>
  <c r="O23" i="2"/>
  <c r="P23" i="2" s="1"/>
  <c r="O24" i="2"/>
  <c r="P24" i="2" s="1"/>
  <c r="O25" i="2"/>
  <c r="P25" i="2" s="1"/>
  <c r="O26" i="2"/>
  <c r="P26" i="2" s="1"/>
  <c r="O27" i="2"/>
  <c r="P27" i="2" s="1"/>
  <c r="O28" i="2"/>
  <c r="P28" i="2" s="1"/>
  <c r="O29" i="2"/>
  <c r="P29" i="2" s="1"/>
  <c r="O30" i="2"/>
  <c r="P30" i="2" s="1"/>
  <c r="O31" i="2"/>
  <c r="P31" i="2" s="1"/>
  <c r="O32" i="2"/>
  <c r="P32" i="2" s="1"/>
  <c r="O33" i="2"/>
  <c r="P33" i="2" s="1"/>
  <c r="O34" i="2"/>
  <c r="P34" i="2" s="1"/>
  <c r="O35" i="2"/>
  <c r="P35" i="2" s="1"/>
  <c r="O36" i="2"/>
  <c r="P36" i="2" s="1"/>
  <c r="O38" i="2"/>
  <c r="P38" i="2" s="1"/>
  <c r="O39" i="2"/>
  <c r="P39" i="2" s="1"/>
  <c r="O40" i="2"/>
  <c r="P40" i="2" s="1"/>
  <c r="O41" i="2"/>
  <c r="P41" i="2" s="1"/>
  <c r="O42" i="2"/>
  <c r="P42" i="2" s="1"/>
  <c r="O43" i="2"/>
  <c r="P43" i="2" s="1"/>
  <c r="O44" i="2"/>
  <c r="P44" i="2" s="1"/>
  <c r="O45" i="2"/>
  <c r="P45" i="2" s="1"/>
  <c r="O46" i="2"/>
  <c r="P46" i="2" s="1"/>
  <c r="O47" i="2"/>
  <c r="P47" i="2" s="1"/>
  <c r="O48" i="2"/>
  <c r="P48" i="2" s="1"/>
  <c r="O49" i="2"/>
  <c r="P49" i="2" s="1"/>
  <c r="O50" i="2"/>
  <c r="P50" i="2" s="1"/>
  <c r="O51" i="2"/>
  <c r="P51" i="2" s="1"/>
  <c r="O52" i="2"/>
  <c r="P52" i="2" s="1"/>
  <c r="O53" i="2"/>
  <c r="P53" i="2" s="1"/>
  <c r="O54" i="2"/>
  <c r="P54" i="2" s="1"/>
  <c r="O55" i="2"/>
  <c r="P55" i="2" s="1"/>
  <c r="O56" i="2"/>
  <c r="P56" i="2" s="1"/>
  <c r="O57" i="2"/>
  <c r="P57" i="2" s="1"/>
  <c r="O58" i="2"/>
  <c r="P58" i="2" s="1"/>
  <c r="O59" i="2"/>
  <c r="P59" i="2" s="1"/>
  <c r="O60" i="2"/>
  <c r="P60" i="2" s="1"/>
  <c r="O61" i="2"/>
  <c r="P61" i="2" s="1"/>
  <c r="O62" i="2"/>
  <c r="P62" i="2" s="1"/>
  <c r="O63" i="2"/>
  <c r="P63" i="2" s="1"/>
  <c r="O64" i="2"/>
  <c r="P64" i="2" s="1"/>
  <c r="O65" i="2"/>
  <c r="P65" i="2" s="1"/>
  <c r="O66" i="2"/>
  <c r="P66" i="2" s="1"/>
  <c r="O67" i="2"/>
  <c r="P67" i="2" s="1"/>
  <c r="O68" i="2"/>
  <c r="P68" i="2" s="1"/>
  <c r="O69" i="2"/>
  <c r="P69" i="2" s="1"/>
  <c r="O70" i="2"/>
  <c r="P70" i="2" s="1"/>
  <c r="O71" i="2"/>
  <c r="P71" i="2" s="1"/>
  <c r="O72" i="2"/>
  <c r="P72" i="2" s="1"/>
  <c r="O73" i="2"/>
  <c r="P73" i="2" s="1"/>
  <c r="O74" i="2"/>
  <c r="P74" i="2" s="1"/>
  <c r="O75" i="2"/>
  <c r="P75" i="2" s="1"/>
  <c r="O76" i="2"/>
  <c r="P76" i="2" s="1"/>
  <c r="O77" i="2"/>
  <c r="P77" i="2" s="1"/>
  <c r="O78" i="2"/>
  <c r="P78" i="2" s="1"/>
  <c r="O79" i="2"/>
  <c r="P79" i="2" s="1"/>
  <c r="O80" i="2"/>
  <c r="P80" i="2" s="1"/>
  <c r="O81" i="2"/>
  <c r="P81" i="2" s="1"/>
  <c r="O82" i="2"/>
  <c r="P82" i="2" s="1"/>
  <c r="O83" i="2"/>
  <c r="P83" i="2" s="1"/>
  <c r="O84" i="2"/>
  <c r="P84" i="2" s="1"/>
  <c r="O85" i="2"/>
  <c r="P85" i="2" s="1"/>
  <c r="O86" i="2"/>
  <c r="P86" i="2" s="1"/>
  <c r="O87" i="2"/>
  <c r="P87" i="2" s="1"/>
  <c r="O88" i="2"/>
  <c r="P88" i="2" s="1"/>
  <c r="O89" i="2"/>
  <c r="P89" i="2" s="1"/>
  <c r="O90" i="2"/>
  <c r="P90" i="2" s="1"/>
  <c r="O91" i="2"/>
  <c r="P91" i="2" s="1"/>
  <c r="O92" i="2"/>
  <c r="P92" i="2" s="1"/>
  <c r="O93" i="2"/>
  <c r="P93" i="2" s="1"/>
  <c r="O94" i="2"/>
  <c r="P94" i="2" s="1"/>
  <c r="O95" i="2"/>
  <c r="P95" i="2" s="1"/>
  <c r="O96" i="2"/>
  <c r="P96" i="2" s="1"/>
  <c r="O97" i="2"/>
  <c r="P97" i="2" s="1"/>
  <c r="O98" i="2"/>
  <c r="P98" i="2" s="1"/>
  <c r="O99" i="2"/>
  <c r="P99" i="2" s="1"/>
  <c r="O100" i="2"/>
  <c r="P100" i="2" s="1"/>
  <c r="O101" i="2"/>
  <c r="P101" i="2" s="1"/>
  <c r="O102" i="2"/>
  <c r="P102" i="2" s="1"/>
  <c r="O103" i="2"/>
  <c r="P103" i="2" s="1"/>
  <c r="O104" i="2"/>
  <c r="P104" i="2" s="1"/>
  <c r="O105" i="2"/>
  <c r="P105" i="2" s="1"/>
  <c r="O106" i="2"/>
  <c r="P106" i="2" s="1"/>
  <c r="O107" i="2"/>
  <c r="P107" i="2" s="1"/>
  <c r="O108" i="2"/>
  <c r="P108" i="2" s="1"/>
  <c r="O109" i="2"/>
  <c r="P109" i="2" s="1"/>
  <c r="O110" i="2"/>
  <c r="P110" i="2" s="1"/>
  <c r="O111" i="2"/>
  <c r="P111" i="2" s="1"/>
  <c r="O112" i="2"/>
  <c r="P112" i="2" s="1"/>
  <c r="O113" i="2"/>
  <c r="P113" i="2" s="1"/>
  <c r="O114" i="2"/>
  <c r="P114" i="2" s="1"/>
  <c r="O115" i="2"/>
  <c r="P115" i="2" s="1"/>
  <c r="O116" i="2"/>
  <c r="P116" i="2" s="1"/>
  <c r="O117" i="2"/>
  <c r="P117" i="2" s="1"/>
  <c r="O118" i="2"/>
  <c r="P118" i="2" s="1"/>
  <c r="O119" i="2"/>
  <c r="P119" i="2" s="1"/>
  <c r="O120" i="2"/>
  <c r="P120" i="2" s="1"/>
  <c r="O121" i="2"/>
  <c r="P121" i="2" s="1"/>
  <c r="O122" i="2"/>
  <c r="P122" i="2" s="1"/>
  <c r="O123" i="2"/>
  <c r="P123" i="2" s="1"/>
  <c r="O124" i="2"/>
  <c r="P124" i="2" s="1"/>
  <c r="O125" i="2"/>
  <c r="P125" i="2" s="1"/>
  <c r="O126" i="2"/>
  <c r="P126" i="2" s="1"/>
  <c r="O127" i="2"/>
  <c r="P127" i="2" s="1"/>
  <c r="O128" i="2"/>
  <c r="P128" i="2" s="1"/>
  <c r="O129" i="2"/>
  <c r="P129" i="2" s="1"/>
  <c r="O130" i="2"/>
  <c r="P130" i="2" s="1"/>
  <c r="O131" i="2"/>
  <c r="P131" i="2" s="1"/>
  <c r="O132" i="2"/>
  <c r="P132" i="2" s="1"/>
  <c r="O133" i="2"/>
  <c r="P133" i="2" s="1"/>
  <c r="O134" i="2"/>
  <c r="P134" i="2" s="1"/>
  <c r="O135" i="2"/>
  <c r="P135" i="2" s="1"/>
  <c r="O136" i="2"/>
  <c r="P136" i="2" s="1"/>
  <c r="O137" i="2"/>
  <c r="P137" i="2" s="1"/>
  <c r="O138" i="2"/>
  <c r="P138" i="2" s="1"/>
  <c r="O139" i="2"/>
  <c r="P139" i="2" s="1"/>
  <c r="O140" i="2"/>
  <c r="P140" i="2" s="1"/>
  <c r="O141" i="2"/>
  <c r="P141" i="2" s="1"/>
  <c r="O142" i="2"/>
  <c r="P142" i="2" s="1"/>
  <c r="O143" i="2"/>
  <c r="P143" i="2" s="1"/>
  <c r="O144" i="2"/>
  <c r="P144" i="2" s="1"/>
  <c r="O145" i="2"/>
  <c r="P145" i="2" s="1"/>
  <c r="O146" i="2"/>
  <c r="P146" i="2" s="1"/>
  <c r="O147" i="2"/>
  <c r="P147" i="2" s="1"/>
  <c r="O148" i="2"/>
  <c r="P148" i="2" s="1"/>
  <c r="O149" i="2"/>
  <c r="P149" i="2" s="1"/>
  <c r="O150" i="2"/>
  <c r="P150" i="2" s="1"/>
  <c r="O151" i="2"/>
  <c r="P151" i="2" s="1"/>
  <c r="O152" i="2"/>
  <c r="P152" i="2" s="1"/>
  <c r="O153" i="2"/>
  <c r="P153" i="2" s="1"/>
  <c r="O154" i="2"/>
  <c r="P154" i="2" s="1"/>
  <c r="O155" i="2"/>
  <c r="P155" i="2" s="1"/>
  <c r="O156" i="2"/>
  <c r="P156" i="2" s="1"/>
  <c r="O157" i="2"/>
  <c r="P157" i="2" s="1"/>
  <c r="O158" i="2"/>
  <c r="P158" i="2" s="1"/>
  <c r="O159" i="2"/>
  <c r="P159" i="2" s="1"/>
  <c r="O160" i="2"/>
  <c r="P160" i="2" s="1"/>
  <c r="O161" i="2"/>
  <c r="P161" i="2" s="1"/>
  <c r="O162" i="2"/>
  <c r="P162" i="2" s="1"/>
  <c r="O163" i="2"/>
  <c r="P163" i="2" s="1"/>
  <c r="O164" i="2"/>
  <c r="P164" i="2" s="1"/>
  <c r="O165" i="2"/>
  <c r="P165" i="2" s="1"/>
  <c r="O166" i="2"/>
  <c r="P166" i="2" s="1"/>
  <c r="O167" i="2"/>
  <c r="P167" i="2" s="1"/>
  <c r="O168" i="2"/>
  <c r="P168" i="2" s="1"/>
  <c r="O169" i="2"/>
  <c r="P169" i="2" s="1"/>
  <c r="O170" i="2"/>
  <c r="P170" i="2" s="1"/>
  <c r="O171" i="2"/>
  <c r="P171" i="2" s="1"/>
  <c r="O172" i="2"/>
  <c r="P172" i="2" s="1"/>
  <c r="O173" i="2"/>
  <c r="P173" i="2" s="1"/>
  <c r="O174" i="2"/>
  <c r="P174" i="2" s="1"/>
  <c r="O175" i="2"/>
  <c r="P175" i="2" s="1"/>
  <c r="O176" i="2"/>
  <c r="P176" i="2" s="1"/>
  <c r="O177" i="2"/>
  <c r="P177" i="2" s="1"/>
  <c r="O178" i="2"/>
  <c r="P178" i="2" s="1"/>
  <c r="O179" i="2"/>
  <c r="P179" i="2" s="1"/>
  <c r="O180" i="2"/>
  <c r="P180" i="2" s="1"/>
  <c r="O181" i="2"/>
  <c r="P181" i="2" s="1"/>
  <c r="O182" i="2"/>
  <c r="P182" i="2" s="1"/>
  <c r="O183" i="2"/>
  <c r="P183" i="2" s="1"/>
  <c r="O184" i="2"/>
  <c r="P184" i="2" s="1"/>
  <c r="O185" i="2"/>
  <c r="P185" i="2" s="1"/>
  <c r="O186" i="2"/>
  <c r="P186" i="2" s="1"/>
  <c r="O187" i="2"/>
  <c r="P187" i="2" s="1"/>
  <c r="O188" i="2"/>
  <c r="P188" i="2" s="1"/>
  <c r="O189" i="2"/>
  <c r="P189" i="2" s="1"/>
  <c r="O190" i="2"/>
  <c r="P190" i="2" s="1"/>
  <c r="O191" i="2"/>
  <c r="P191" i="2" s="1"/>
  <c r="O192" i="2"/>
  <c r="P192" i="2" s="1"/>
  <c r="O193" i="2"/>
  <c r="P193" i="2" s="1"/>
  <c r="O194" i="2"/>
  <c r="P194" i="2" s="1"/>
  <c r="O195" i="2"/>
  <c r="P195" i="2" s="1"/>
  <c r="O196" i="2"/>
  <c r="P196" i="2" s="1"/>
  <c r="O197" i="2"/>
  <c r="P197" i="2" s="1"/>
  <c r="O198" i="2"/>
  <c r="P198" i="2" s="1"/>
  <c r="O199" i="2"/>
  <c r="P199" i="2" s="1"/>
  <c r="O200" i="2"/>
  <c r="P200" i="2" s="1"/>
  <c r="O201" i="2"/>
  <c r="P201" i="2" s="1"/>
  <c r="O202" i="2"/>
  <c r="P202" i="2" s="1"/>
  <c r="O203" i="2"/>
  <c r="P203" i="2" s="1"/>
  <c r="O204" i="2"/>
  <c r="P204" i="2" s="1"/>
  <c r="O205" i="2"/>
  <c r="P205" i="2" s="1"/>
  <c r="O206" i="2"/>
  <c r="P206" i="2" s="1"/>
  <c r="O207" i="2"/>
  <c r="P207" i="2" s="1"/>
  <c r="O208" i="2"/>
  <c r="P208" i="2" s="1"/>
  <c r="O209" i="2"/>
  <c r="P209" i="2" s="1"/>
  <c r="O210" i="2"/>
  <c r="P210" i="2" s="1"/>
  <c r="O211" i="2"/>
  <c r="P211" i="2" s="1"/>
  <c r="O212" i="2"/>
  <c r="P212" i="2" s="1"/>
  <c r="O213" i="2"/>
  <c r="P213" i="2" s="1"/>
  <c r="O214" i="2"/>
  <c r="P214" i="2" s="1"/>
  <c r="O215" i="2"/>
  <c r="P215" i="2" s="1"/>
  <c r="O216" i="2"/>
  <c r="P216" i="2" s="1"/>
  <c r="O217" i="2"/>
  <c r="P217" i="2" s="1"/>
  <c r="O218" i="2"/>
  <c r="P218" i="2" s="1"/>
  <c r="O219" i="2"/>
  <c r="P219" i="2" s="1"/>
  <c r="O220" i="2"/>
  <c r="P220" i="2" s="1"/>
  <c r="O221" i="2"/>
  <c r="P221" i="2" s="1"/>
  <c r="O222" i="2"/>
  <c r="P222" i="2" s="1"/>
  <c r="O223" i="2"/>
  <c r="P223" i="2" s="1"/>
  <c r="O224" i="2"/>
  <c r="P224" i="2" s="1"/>
  <c r="O225" i="2"/>
  <c r="P225" i="2" s="1"/>
  <c r="O226" i="2"/>
  <c r="P226" i="2" s="1"/>
  <c r="O227" i="2"/>
  <c r="P227" i="2" s="1"/>
  <c r="O228" i="2"/>
  <c r="P228" i="2" s="1"/>
  <c r="O229" i="2"/>
  <c r="P229" i="2" s="1"/>
  <c r="O230" i="2"/>
  <c r="P230" i="2" s="1"/>
  <c r="O231" i="2"/>
  <c r="P231" i="2" s="1"/>
  <c r="O232" i="2"/>
  <c r="P232" i="2" s="1"/>
  <c r="O233" i="2"/>
  <c r="P233" i="2" s="1"/>
  <c r="O234" i="2"/>
  <c r="P234" i="2" s="1"/>
  <c r="O235" i="2"/>
  <c r="P235" i="2" s="1"/>
  <c r="O236" i="2"/>
  <c r="P236" i="2" s="1"/>
  <c r="O237" i="2"/>
  <c r="P237" i="2" s="1"/>
  <c r="O238" i="2"/>
  <c r="P238" i="2" s="1"/>
  <c r="O239" i="2"/>
  <c r="P239" i="2" s="1"/>
  <c r="O240" i="2"/>
  <c r="P240" i="2" s="1"/>
  <c r="O241" i="2"/>
  <c r="P241" i="2" s="1"/>
  <c r="O242" i="2"/>
  <c r="P242" i="2" s="1"/>
  <c r="O243" i="2"/>
  <c r="P243" i="2" s="1"/>
  <c r="O244" i="2"/>
  <c r="P244" i="2" s="1"/>
  <c r="O245" i="2"/>
  <c r="P245" i="2" s="1"/>
  <c r="O246" i="2"/>
  <c r="P246" i="2" s="1"/>
  <c r="O247" i="2"/>
  <c r="P247" i="2" s="1"/>
  <c r="O248" i="2"/>
  <c r="P248" i="2" s="1"/>
  <c r="O249" i="2"/>
  <c r="P249" i="2" s="1"/>
  <c r="O250" i="2"/>
  <c r="P250" i="2" s="1"/>
  <c r="O251" i="2"/>
  <c r="P251" i="2" s="1"/>
  <c r="O252" i="2"/>
  <c r="P252" i="2" s="1"/>
  <c r="O253" i="2"/>
  <c r="P253" i="2" s="1"/>
  <c r="O254" i="2"/>
  <c r="P254" i="2" s="1"/>
  <c r="O255" i="2"/>
  <c r="P255" i="2" s="1"/>
  <c r="O256" i="2"/>
  <c r="P256" i="2" s="1"/>
  <c r="O257" i="2"/>
  <c r="P257" i="2" s="1"/>
  <c r="O258" i="2"/>
  <c r="P258" i="2" s="1"/>
  <c r="O259" i="2"/>
  <c r="P259" i="2" s="1"/>
  <c r="O260" i="2"/>
  <c r="P260" i="2" s="1"/>
  <c r="O261" i="2"/>
  <c r="P261" i="2" s="1"/>
  <c r="O262" i="2"/>
  <c r="P262" i="2" s="1"/>
  <c r="O263" i="2"/>
  <c r="P263" i="2" s="1"/>
  <c r="O264" i="2"/>
  <c r="P264" i="2" s="1"/>
  <c r="O265" i="2"/>
  <c r="P265" i="2" s="1"/>
  <c r="O266" i="2"/>
  <c r="P266" i="2" s="1"/>
  <c r="O267" i="2"/>
  <c r="P267" i="2" s="1"/>
  <c r="O268" i="2"/>
  <c r="P268" i="2" s="1"/>
  <c r="O269" i="2"/>
  <c r="P269" i="2" s="1"/>
  <c r="O270" i="2"/>
  <c r="P270" i="2" s="1"/>
  <c r="O271" i="2"/>
  <c r="P271" i="2" s="1"/>
  <c r="O272" i="2"/>
  <c r="P272" i="2" s="1"/>
  <c r="O273" i="2"/>
  <c r="P273" i="2" s="1"/>
  <c r="O274" i="2"/>
  <c r="P274" i="2" s="1"/>
  <c r="O275" i="2"/>
  <c r="P275" i="2" s="1"/>
  <c r="O276" i="2"/>
  <c r="P276" i="2" s="1"/>
  <c r="O277" i="2"/>
  <c r="P277" i="2" s="1"/>
  <c r="O278" i="2"/>
  <c r="P278" i="2" s="1"/>
  <c r="O279" i="2"/>
  <c r="P279" i="2" s="1"/>
  <c r="O280" i="2"/>
  <c r="P280" i="2" s="1"/>
  <c r="O281" i="2"/>
  <c r="P281" i="2" s="1"/>
  <c r="O282" i="2"/>
  <c r="P282" i="2" s="1"/>
  <c r="O283" i="2"/>
  <c r="P283" i="2" s="1"/>
  <c r="O284" i="2"/>
  <c r="P284" i="2" s="1"/>
  <c r="O285" i="2"/>
  <c r="P285" i="2" s="1"/>
  <c r="O286" i="2"/>
  <c r="P286" i="2" s="1"/>
  <c r="O287" i="2"/>
  <c r="P287" i="2" s="1"/>
  <c r="O288" i="2"/>
  <c r="P288" i="2" s="1"/>
  <c r="O289" i="2"/>
  <c r="P289" i="2" s="1"/>
  <c r="O290" i="2"/>
  <c r="P290" i="2" s="1"/>
  <c r="O291" i="2"/>
  <c r="P291" i="2" s="1"/>
  <c r="O292" i="2"/>
  <c r="P292" i="2" s="1"/>
  <c r="O293" i="2"/>
  <c r="P293" i="2" s="1"/>
  <c r="O294" i="2"/>
  <c r="P294" i="2" s="1"/>
  <c r="O295" i="2"/>
  <c r="P295" i="2" s="1"/>
  <c r="O296" i="2"/>
  <c r="P296" i="2" s="1"/>
  <c r="O297" i="2"/>
  <c r="P297" i="2" s="1"/>
  <c r="O298" i="2"/>
  <c r="P298" i="2" s="1"/>
  <c r="O299" i="2"/>
  <c r="P299" i="2" s="1"/>
  <c r="O300" i="2"/>
  <c r="P300" i="2" s="1"/>
  <c r="O301" i="2"/>
  <c r="P301" i="2" s="1"/>
  <c r="O302" i="2"/>
  <c r="P302" i="2" s="1"/>
  <c r="O303" i="2"/>
  <c r="P303" i="2" s="1"/>
  <c r="O304" i="2"/>
  <c r="P304" i="2" s="1"/>
  <c r="O305" i="2"/>
  <c r="P305" i="2" s="1"/>
  <c r="O306" i="2"/>
  <c r="P306" i="2" s="1"/>
  <c r="O307" i="2"/>
  <c r="P307" i="2" s="1"/>
  <c r="O308" i="2"/>
  <c r="P308" i="2" s="1"/>
  <c r="O309" i="2"/>
  <c r="P309" i="2" s="1"/>
  <c r="O310" i="2"/>
  <c r="P310" i="2" s="1"/>
  <c r="O311" i="2"/>
  <c r="P311" i="2" s="1"/>
  <c r="O312" i="2"/>
  <c r="P312" i="2" s="1"/>
  <c r="O313" i="2"/>
  <c r="P313" i="2" s="1"/>
  <c r="O314" i="2"/>
  <c r="P314" i="2" s="1"/>
  <c r="O315" i="2"/>
  <c r="P315" i="2" s="1"/>
  <c r="O316" i="2"/>
  <c r="P316" i="2" s="1"/>
  <c r="O317" i="2"/>
  <c r="P317" i="2" s="1"/>
  <c r="O318" i="2"/>
  <c r="P318" i="2" s="1"/>
  <c r="O319" i="2"/>
  <c r="P319" i="2" s="1"/>
  <c r="O320" i="2"/>
  <c r="P320" i="2" s="1"/>
  <c r="O321" i="2"/>
  <c r="P321" i="2" s="1"/>
  <c r="O322" i="2"/>
  <c r="P322" i="2" s="1"/>
  <c r="O323" i="2"/>
  <c r="P323" i="2" s="1"/>
  <c r="O324" i="2"/>
  <c r="P324" i="2" s="1"/>
  <c r="O325" i="2"/>
  <c r="P325" i="2" s="1"/>
  <c r="O326" i="2"/>
  <c r="P326" i="2" s="1"/>
  <c r="O327" i="2"/>
  <c r="P327" i="2" s="1"/>
  <c r="O328" i="2"/>
  <c r="P328" i="2" s="1"/>
  <c r="O329" i="2"/>
  <c r="P329" i="2" s="1"/>
  <c r="O330" i="2"/>
  <c r="P330" i="2" s="1"/>
  <c r="O331" i="2"/>
  <c r="P331" i="2" s="1"/>
  <c r="O332" i="2"/>
  <c r="P332" i="2" s="1"/>
  <c r="O333" i="2"/>
  <c r="P333" i="2" s="1"/>
  <c r="O334" i="2"/>
  <c r="P334" i="2" s="1"/>
  <c r="O335" i="2"/>
  <c r="P335" i="2" s="1"/>
  <c r="O336" i="2"/>
  <c r="P336" i="2" s="1"/>
  <c r="O337" i="2"/>
  <c r="P337" i="2" s="1"/>
  <c r="O338" i="2"/>
  <c r="P338" i="2" s="1"/>
  <c r="O339" i="2"/>
  <c r="P339" i="2" s="1"/>
  <c r="O340" i="2"/>
  <c r="P340" i="2" s="1"/>
  <c r="O341" i="2"/>
  <c r="P341" i="2" s="1"/>
  <c r="O342" i="2"/>
  <c r="P342" i="2" s="1"/>
  <c r="O343" i="2"/>
  <c r="P343" i="2" s="1"/>
  <c r="O344" i="2"/>
  <c r="P344" i="2" s="1"/>
  <c r="O345" i="2"/>
  <c r="P345" i="2" s="1"/>
  <c r="O346" i="2"/>
  <c r="P346" i="2" s="1"/>
  <c r="O347" i="2"/>
  <c r="P347" i="2" s="1"/>
  <c r="O348" i="2"/>
  <c r="P348" i="2" s="1"/>
  <c r="O349" i="2"/>
  <c r="P349" i="2" s="1"/>
  <c r="O350" i="2"/>
  <c r="P350" i="2" s="1"/>
  <c r="O351" i="2"/>
  <c r="P351" i="2" s="1"/>
  <c r="O352" i="2"/>
  <c r="P352" i="2" s="1"/>
  <c r="O353" i="2"/>
  <c r="P353" i="2" s="1"/>
  <c r="O354" i="2"/>
  <c r="P354" i="2" s="1"/>
  <c r="O355" i="2"/>
  <c r="P355" i="2" s="1"/>
  <c r="O356" i="2"/>
  <c r="P356" i="2" s="1"/>
  <c r="O357" i="2"/>
  <c r="P357" i="2" s="1"/>
  <c r="O358" i="2"/>
  <c r="P358" i="2" s="1"/>
  <c r="O359" i="2"/>
  <c r="P359" i="2" s="1"/>
  <c r="O360" i="2"/>
  <c r="P360" i="2" s="1"/>
  <c r="O361" i="2"/>
  <c r="P361" i="2" s="1"/>
  <c r="O362" i="2"/>
  <c r="P362" i="2" s="1"/>
  <c r="O363" i="2"/>
  <c r="P363" i="2" s="1"/>
  <c r="O364" i="2"/>
  <c r="P364" i="2" s="1"/>
  <c r="O365" i="2"/>
  <c r="P365" i="2" s="1"/>
  <c r="O366" i="2"/>
  <c r="P366" i="2" s="1"/>
  <c r="O367" i="2"/>
  <c r="P367" i="2" s="1"/>
  <c r="O368" i="2"/>
  <c r="P368" i="2" s="1"/>
  <c r="O369" i="2"/>
  <c r="P369" i="2" s="1"/>
  <c r="O370" i="2"/>
  <c r="P370" i="2" s="1"/>
  <c r="O371" i="2"/>
  <c r="P371" i="2" s="1"/>
  <c r="O372" i="2"/>
  <c r="P372" i="2" s="1"/>
  <c r="O373" i="2"/>
  <c r="P373" i="2" s="1"/>
  <c r="O374" i="2"/>
  <c r="P374" i="2" s="1"/>
  <c r="O375" i="2"/>
  <c r="P375" i="2" s="1"/>
  <c r="O376" i="2"/>
  <c r="P376" i="2" s="1"/>
  <c r="O377" i="2"/>
  <c r="P377" i="2" s="1"/>
  <c r="O378" i="2"/>
  <c r="P378" i="2" s="1"/>
  <c r="O379" i="2"/>
  <c r="P379" i="2" s="1"/>
  <c r="O380" i="2"/>
  <c r="P380" i="2" s="1"/>
  <c r="O381" i="2"/>
  <c r="P381" i="2" s="1"/>
  <c r="O382" i="2"/>
  <c r="P382" i="2" s="1"/>
  <c r="O383" i="2"/>
  <c r="P383" i="2" s="1"/>
  <c r="O384" i="2"/>
  <c r="P384" i="2" s="1"/>
  <c r="O385" i="2"/>
  <c r="P385" i="2" s="1"/>
  <c r="O386" i="2"/>
  <c r="P386" i="2" s="1"/>
  <c r="O387" i="2"/>
  <c r="P387" i="2" s="1"/>
  <c r="O388" i="2"/>
  <c r="P388" i="2" s="1"/>
  <c r="O389" i="2"/>
  <c r="P389" i="2" s="1"/>
  <c r="O390" i="2"/>
  <c r="P390" i="2" s="1"/>
  <c r="O391" i="2"/>
  <c r="P391" i="2" s="1"/>
  <c r="O392" i="2"/>
  <c r="P392" i="2" s="1"/>
  <c r="O393" i="2"/>
  <c r="P393" i="2" s="1"/>
  <c r="O394" i="2"/>
  <c r="P394" i="2" s="1"/>
  <c r="O395" i="2"/>
  <c r="P395" i="2" s="1"/>
  <c r="O396" i="2"/>
  <c r="P396" i="2" s="1"/>
  <c r="O397" i="2"/>
  <c r="P397" i="2" s="1"/>
  <c r="O398" i="2"/>
  <c r="P398" i="2" s="1"/>
  <c r="O399" i="2"/>
  <c r="P399" i="2" s="1"/>
  <c r="O400" i="2"/>
  <c r="P400" i="2" s="1"/>
  <c r="O401" i="2"/>
  <c r="P401" i="2" s="1"/>
  <c r="O402" i="2"/>
  <c r="P402" i="2" s="1"/>
  <c r="O403" i="2"/>
  <c r="P403" i="2" s="1"/>
  <c r="O404" i="2"/>
  <c r="P404" i="2" s="1"/>
  <c r="O405" i="2"/>
  <c r="P405" i="2" s="1"/>
  <c r="O406" i="2"/>
  <c r="P406" i="2" s="1"/>
  <c r="O407" i="2"/>
  <c r="P407" i="2" s="1"/>
  <c r="O408" i="2"/>
  <c r="P408" i="2" s="1"/>
  <c r="O409" i="2"/>
  <c r="P409" i="2" s="1"/>
  <c r="O410" i="2"/>
  <c r="P410" i="2" s="1"/>
  <c r="O411" i="2"/>
  <c r="P411" i="2" s="1"/>
  <c r="O412" i="2"/>
  <c r="P412" i="2" s="1"/>
  <c r="O413" i="2"/>
  <c r="P413" i="2" s="1"/>
  <c r="O414" i="2"/>
  <c r="P414" i="2" s="1"/>
  <c r="O415" i="2"/>
  <c r="P415" i="2" s="1"/>
  <c r="O416" i="2"/>
  <c r="P416" i="2" s="1"/>
  <c r="O417" i="2"/>
  <c r="P417" i="2" s="1"/>
  <c r="O418" i="2"/>
  <c r="P418" i="2" s="1"/>
  <c r="O419" i="2"/>
  <c r="P419" i="2" s="1"/>
  <c r="O420" i="2"/>
  <c r="P420" i="2" s="1"/>
  <c r="O421" i="2"/>
  <c r="P421" i="2" s="1"/>
  <c r="O422" i="2"/>
  <c r="P422" i="2" s="1"/>
  <c r="O423" i="2"/>
  <c r="P423" i="2" s="1"/>
  <c r="O424" i="2"/>
  <c r="P424" i="2" s="1"/>
  <c r="O425" i="2"/>
  <c r="P425" i="2" s="1"/>
  <c r="O426" i="2"/>
  <c r="P426" i="2" s="1"/>
  <c r="O427" i="2"/>
  <c r="P427" i="2" s="1"/>
  <c r="O428" i="2"/>
  <c r="P428" i="2" s="1"/>
  <c r="O429" i="2"/>
  <c r="P429" i="2" s="1"/>
  <c r="O430" i="2"/>
  <c r="P430" i="2" s="1"/>
  <c r="O431" i="2"/>
  <c r="P431" i="2" s="1"/>
  <c r="O432" i="2"/>
  <c r="P432" i="2" s="1"/>
  <c r="O433" i="2"/>
  <c r="P433" i="2" s="1"/>
  <c r="O434" i="2"/>
  <c r="P434" i="2" s="1"/>
  <c r="O435" i="2"/>
  <c r="P435" i="2" s="1"/>
  <c r="O436" i="2"/>
  <c r="P436" i="2" s="1"/>
  <c r="O437" i="2"/>
  <c r="P437" i="2" s="1"/>
  <c r="O438" i="2"/>
  <c r="P438" i="2" s="1"/>
  <c r="O439" i="2"/>
  <c r="P439" i="2" s="1"/>
  <c r="O440" i="2"/>
  <c r="P440" i="2" s="1"/>
  <c r="O441" i="2"/>
  <c r="P441" i="2" s="1"/>
  <c r="O442" i="2"/>
  <c r="P442" i="2" s="1"/>
  <c r="O443" i="2"/>
  <c r="P443" i="2" s="1"/>
  <c r="O444" i="2"/>
  <c r="P444" i="2" s="1"/>
  <c r="O445" i="2"/>
  <c r="P445" i="2" s="1"/>
  <c r="O446" i="2"/>
  <c r="P446" i="2" s="1"/>
  <c r="O447" i="2"/>
  <c r="P447" i="2" s="1"/>
  <c r="O448" i="2"/>
  <c r="P448" i="2" s="1"/>
  <c r="O449" i="2"/>
  <c r="P449" i="2" s="1"/>
  <c r="O450" i="2"/>
  <c r="P450" i="2" s="1"/>
  <c r="O451" i="2"/>
  <c r="P451" i="2" s="1"/>
  <c r="O452" i="2"/>
  <c r="P452" i="2" s="1"/>
  <c r="O453" i="2"/>
  <c r="P453" i="2" s="1"/>
  <c r="O454" i="2"/>
  <c r="P454" i="2" s="1"/>
  <c r="O455" i="2"/>
  <c r="P455" i="2" s="1"/>
  <c r="O456" i="2"/>
  <c r="P456" i="2" s="1"/>
  <c r="O457" i="2"/>
  <c r="P457" i="2" s="1"/>
  <c r="O458" i="2"/>
  <c r="P458" i="2" s="1"/>
  <c r="O459" i="2"/>
  <c r="P459" i="2" s="1"/>
  <c r="O460" i="2"/>
  <c r="P460" i="2" s="1"/>
  <c r="O461" i="2"/>
  <c r="P461" i="2" s="1"/>
  <c r="O462" i="2"/>
  <c r="P462" i="2" s="1"/>
  <c r="O463" i="2"/>
  <c r="P463" i="2" s="1"/>
  <c r="O464" i="2"/>
  <c r="P464" i="2" s="1"/>
  <c r="O465" i="2"/>
  <c r="P465" i="2" s="1"/>
  <c r="O466" i="2"/>
  <c r="P466" i="2" s="1"/>
  <c r="O467" i="2"/>
  <c r="P467" i="2" s="1"/>
  <c r="O468" i="2"/>
  <c r="P468" i="2" s="1"/>
  <c r="O469" i="2"/>
  <c r="P469" i="2" s="1"/>
  <c r="O470" i="2"/>
  <c r="P470" i="2" s="1"/>
  <c r="O471" i="2"/>
  <c r="P471" i="2" s="1"/>
  <c r="O472" i="2"/>
  <c r="P472" i="2" s="1"/>
  <c r="O473" i="2"/>
  <c r="P473" i="2" s="1"/>
  <c r="O474" i="2"/>
  <c r="P474" i="2" s="1"/>
  <c r="O475" i="2"/>
  <c r="P475" i="2" s="1"/>
  <c r="O476" i="2"/>
  <c r="P476" i="2" s="1"/>
  <c r="O477" i="2"/>
  <c r="P477" i="2" s="1"/>
  <c r="O478" i="2"/>
  <c r="P478" i="2" s="1"/>
  <c r="O479" i="2"/>
  <c r="P479" i="2" s="1"/>
  <c r="O480" i="2"/>
  <c r="P480" i="2" s="1"/>
  <c r="O481" i="2"/>
  <c r="P481" i="2" s="1"/>
  <c r="O482" i="2"/>
  <c r="P482" i="2" s="1"/>
  <c r="O483" i="2"/>
  <c r="P483" i="2" s="1"/>
  <c r="O484" i="2"/>
  <c r="P484" i="2" s="1"/>
  <c r="O485" i="2"/>
  <c r="P485" i="2" s="1"/>
  <c r="O486" i="2"/>
  <c r="P486" i="2" s="1"/>
  <c r="O487" i="2"/>
  <c r="P487" i="2" s="1"/>
  <c r="O488" i="2"/>
  <c r="P488" i="2" s="1"/>
  <c r="O489" i="2"/>
  <c r="P489" i="2" s="1"/>
  <c r="O490" i="2"/>
  <c r="P490" i="2" s="1"/>
  <c r="O491" i="2"/>
  <c r="P491" i="2" s="1"/>
  <c r="O492" i="2"/>
  <c r="P492" i="2" s="1"/>
  <c r="O493" i="2"/>
  <c r="P493" i="2" s="1"/>
  <c r="O494" i="2"/>
  <c r="P494" i="2" s="1"/>
  <c r="O495" i="2"/>
  <c r="P495" i="2" s="1"/>
  <c r="O496" i="2"/>
  <c r="P496" i="2" s="1"/>
  <c r="O497" i="2"/>
  <c r="P497" i="2" s="1"/>
  <c r="O498" i="2"/>
  <c r="P498" i="2" s="1"/>
  <c r="O499" i="2"/>
  <c r="P499" i="2" s="1"/>
  <c r="O500" i="2"/>
  <c r="P500" i="2" s="1"/>
  <c r="O501" i="2"/>
  <c r="P501" i="2" s="1"/>
  <c r="O502" i="2"/>
  <c r="P502" i="2" s="1"/>
  <c r="O503" i="2"/>
  <c r="P503" i="2" s="1"/>
  <c r="O504" i="2"/>
  <c r="P504" i="2" s="1"/>
  <c r="O505" i="2"/>
  <c r="P505" i="2" s="1"/>
  <c r="O506" i="2"/>
  <c r="P506" i="2" s="1"/>
  <c r="O507" i="2"/>
  <c r="P507" i="2" s="1"/>
  <c r="O508" i="2"/>
  <c r="P508" i="2" s="1"/>
  <c r="O509" i="2"/>
  <c r="P509" i="2" s="1"/>
  <c r="O510" i="2"/>
  <c r="P510" i="2" s="1"/>
  <c r="O511" i="2"/>
  <c r="P511" i="2" s="1"/>
  <c r="O512" i="2"/>
  <c r="P512" i="2" s="1"/>
  <c r="O513" i="2"/>
  <c r="P513" i="2" s="1"/>
  <c r="O514" i="2"/>
  <c r="P514" i="2" s="1"/>
  <c r="O515" i="2"/>
  <c r="P515" i="2" s="1"/>
  <c r="O516" i="2"/>
  <c r="P516" i="2" s="1"/>
  <c r="O517" i="2"/>
  <c r="P517" i="2" s="1"/>
  <c r="O518" i="2"/>
  <c r="P518" i="2" s="1"/>
  <c r="O519" i="2"/>
  <c r="P519" i="2" s="1"/>
  <c r="O520" i="2"/>
  <c r="P520" i="2" s="1"/>
  <c r="O521" i="2"/>
  <c r="P521" i="2" s="1"/>
  <c r="O522" i="2"/>
  <c r="P522" i="2" s="1"/>
  <c r="O523" i="2"/>
  <c r="P523" i="2" s="1"/>
  <c r="O524" i="2"/>
  <c r="P524" i="2" s="1"/>
  <c r="O525" i="2"/>
  <c r="P525" i="2" s="1"/>
  <c r="O526" i="2"/>
  <c r="P526" i="2" s="1"/>
  <c r="O527" i="2"/>
  <c r="P527" i="2" s="1"/>
  <c r="O528" i="2"/>
  <c r="P528" i="2" s="1"/>
  <c r="O529" i="2"/>
  <c r="P529" i="2" s="1"/>
  <c r="O530" i="2"/>
  <c r="P530" i="2" s="1"/>
  <c r="O531" i="2"/>
  <c r="P531" i="2" s="1"/>
  <c r="O532" i="2"/>
  <c r="P532" i="2" s="1"/>
  <c r="O533" i="2"/>
  <c r="P533" i="2" s="1"/>
  <c r="O534" i="2"/>
  <c r="P534" i="2" s="1"/>
  <c r="O535" i="2"/>
  <c r="P535" i="2" s="1"/>
  <c r="O536" i="2"/>
  <c r="P536" i="2" s="1"/>
  <c r="O537" i="2"/>
  <c r="P537" i="2" s="1"/>
  <c r="O538" i="2"/>
  <c r="P538" i="2" s="1"/>
  <c r="O539" i="2"/>
  <c r="P539" i="2" s="1"/>
  <c r="O540" i="2"/>
  <c r="P540" i="2" s="1"/>
  <c r="O541" i="2"/>
  <c r="P541" i="2" s="1"/>
  <c r="O542" i="2"/>
  <c r="P542" i="2" s="1"/>
  <c r="O543" i="2"/>
  <c r="P543" i="2" s="1"/>
  <c r="O544" i="2"/>
  <c r="P544" i="2" s="1"/>
  <c r="O545" i="2"/>
  <c r="P545" i="2" s="1"/>
  <c r="O546" i="2"/>
  <c r="P546" i="2" s="1"/>
  <c r="O547" i="2"/>
  <c r="P547" i="2" s="1"/>
  <c r="O548" i="2"/>
  <c r="P548" i="2" s="1"/>
  <c r="O549" i="2"/>
  <c r="P549" i="2" s="1"/>
  <c r="O550" i="2"/>
  <c r="P550" i="2" s="1"/>
  <c r="O551" i="2"/>
  <c r="P551" i="2" s="1"/>
  <c r="O552" i="2"/>
  <c r="P552" i="2" s="1"/>
  <c r="O553" i="2"/>
  <c r="P553" i="2" s="1"/>
  <c r="O554" i="2"/>
  <c r="P554" i="2" s="1"/>
  <c r="O555" i="2"/>
  <c r="P555" i="2" s="1"/>
  <c r="O556" i="2"/>
  <c r="P556" i="2" s="1"/>
  <c r="O557" i="2"/>
  <c r="P557" i="2" s="1"/>
  <c r="O558" i="2"/>
  <c r="P558" i="2" s="1"/>
  <c r="O559" i="2"/>
  <c r="P559" i="2" s="1"/>
  <c r="O560" i="2"/>
  <c r="P560" i="2" s="1"/>
  <c r="O561" i="2"/>
  <c r="P561" i="2" s="1"/>
  <c r="O562" i="2"/>
  <c r="P562" i="2" s="1"/>
  <c r="O563" i="2"/>
  <c r="P563" i="2" s="1"/>
  <c r="O564" i="2"/>
  <c r="P564" i="2" s="1"/>
  <c r="O565" i="2"/>
  <c r="P565" i="2" s="1"/>
  <c r="O566" i="2"/>
  <c r="P566" i="2" s="1"/>
  <c r="O567" i="2"/>
  <c r="P567" i="2" s="1"/>
  <c r="O568" i="2"/>
  <c r="P568" i="2" s="1"/>
  <c r="O569" i="2"/>
  <c r="P569" i="2" s="1"/>
  <c r="O570" i="2"/>
  <c r="P570" i="2" s="1"/>
  <c r="O571" i="2"/>
  <c r="P571" i="2" s="1"/>
  <c r="O572" i="2"/>
  <c r="P572" i="2" s="1"/>
  <c r="O573" i="2"/>
  <c r="P573" i="2" s="1"/>
  <c r="O574" i="2"/>
  <c r="P574" i="2" s="1"/>
  <c r="O575" i="2"/>
  <c r="P575" i="2" s="1"/>
  <c r="O576" i="2"/>
  <c r="P576" i="2" s="1"/>
  <c r="O577" i="2"/>
  <c r="P577" i="2" s="1"/>
  <c r="O578" i="2"/>
  <c r="P578" i="2" s="1"/>
  <c r="O579" i="2"/>
  <c r="P579" i="2" s="1"/>
  <c r="O580" i="2"/>
  <c r="P580" i="2" s="1"/>
  <c r="O581" i="2"/>
  <c r="P581" i="2" s="1"/>
  <c r="O582" i="2"/>
  <c r="P582" i="2" s="1"/>
  <c r="O583" i="2"/>
  <c r="P583" i="2" s="1"/>
  <c r="O584" i="2"/>
  <c r="P584" i="2" s="1"/>
  <c r="O585" i="2"/>
  <c r="P585" i="2" s="1"/>
  <c r="O586" i="2"/>
  <c r="P586" i="2" s="1"/>
  <c r="O587" i="2"/>
  <c r="P587" i="2" s="1"/>
  <c r="O588" i="2"/>
  <c r="P588" i="2" s="1"/>
  <c r="O589" i="2"/>
  <c r="P589" i="2" s="1"/>
  <c r="O590" i="2"/>
  <c r="P590" i="2" s="1"/>
  <c r="O591" i="2"/>
  <c r="P591" i="2" s="1"/>
  <c r="O592" i="2"/>
  <c r="P592" i="2" s="1"/>
  <c r="O593" i="2"/>
  <c r="P593" i="2" s="1"/>
  <c r="O594" i="2"/>
  <c r="P594" i="2" s="1"/>
  <c r="O595" i="2"/>
  <c r="P595" i="2" s="1"/>
  <c r="O596" i="2"/>
  <c r="P596" i="2" s="1"/>
  <c r="O597" i="2"/>
  <c r="P597" i="2" s="1"/>
  <c r="O598" i="2"/>
  <c r="P598" i="2" s="1"/>
  <c r="O599" i="2"/>
  <c r="P599" i="2" s="1"/>
  <c r="O600" i="2"/>
  <c r="P600" i="2" s="1"/>
  <c r="O601" i="2"/>
  <c r="P601" i="2" s="1"/>
  <c r="O602" i="2"/>
  <c r="P602" i="2" s="1"/>
  <c r="O603" i="2"/>
  <c r="P603" i="2" s="1"/>
  <c r="O604" i="2"/>
  <c r="P604" i="2" s="1"/>
  <c r="O605" i="2"/>
  <c r="P605" i="2" s="1"/>
  <c r="O606" i="2"/>
  <c r="P606" i="2" s="1"/>
  <c r="O607" i="2"/>
  <c r="P607" i="2" s="1"/>
  <c r="O608" i="2"/>
  <c r="P608" i="2" s="1"/>
  <c r="O609" i="2"/>
  <c r="P609" i="2" s="1"/>
  <c r="O610" i="2"/>
  <c r="P610" i="2" s="1"/>
  <c r="O611" i="2"/>
  <c r="P611" i="2" s="1"/>
  <c r="O612" i="2"/>
  <c r="P612" i="2" s="1"/>
  <c r="O613" i="2"/>
  <c r="P613" i="2" s="1"/>
  <c r="O614" i="2"/>
  <c r="P614" i="2" s="1"/>
  <c r="O615" i="2"/>
  <c r="P615" i="2" s="1"/>
  <c r="O616" i="2"/>
  <c r="P616" i="2" s="1"/>
  <c r="O617" i="2"/>
  <c r="P617" i="2" s="1"/>
  <c r="O618" i="2"/>
  <c r="P618" i="2" s="1"/>
  <c r="O619" i="2"/>
  <c r="P619" i="2" s="1"/>
  <c r="O620" i="2"/>
  <c r="P620" i="2" s="1"/>
  <c r="O621" i="2"/>
  <c r="P621" i="2" s="1"/>
  <c r="O622" i="2"/>
  <c r="P622" i="2" s="1"/>
  <c r="O623" i="2"/>
  <c r="P623" i="2" s="1"/>
  <c r="O624" i="2"/>
  <c r="P624" i="2" s="1"/>
  <c r="O625" i="2"/>
  <c r="P625" i="2" s="1"/>
  <c r="O626" i="2"/>
  <c r="P626" i="2" s="1"/>
  <c r="O627" i="2"/>
  <c r="P627" i="2" s="1"/>
  <c r="O628" i="2"/>
  <c r="P628" i="2" s="1"/>
  <c r="O629" i="2"/>
  <c r="P629" i="2" s="1"/>
  <c r="O630" i="2"/>
  <c r="P630" i="2" s="1"/>
  <c r="O631" i="2"/>
  <c r="P631" i="2" s="1"/>
  <c r="O632" i="2"/>
  <c r="P632" i="2" s="1"/>
  <c r="O633" i="2"/>
  <c r="P633" i="2" s="1"/>
  <c r="O634" i="2"/>
  <c r="P634" i="2" s="1"/>
  <c r="O635" i="2"/>
  <c r="P635" i="2" s="1"/>
  <c r="O636" i="2"/>
  <c r="P636" i="2" s="1"/>
  <c r="O637" i="2"/>
  <c r="P637" i="2" s="1"/>
  <c r="O638" i="2"/>
  <c r="P638" i="2" s="1"/>
  <c r="O639" i="2"/>
  <c r="P639" i="2" s="1"/>
  <c r="O640" i="2"/>
  <c r="P640" i="2" s="1"/>
  <c r="O641" i="2"/>
  <c r="P641" i="2" s="1"/>
  <c r="O642" i="2"/>
  <c r="P642" i="2" s="1"/>
  <c r="O643" i="2"/>
  <c r="P643" i="2" s="1"/>
  <c r="O644" i="2"/>
  <c r="P644" i="2" s="1"/>
  <c r="O645" i="2"/>
  <c r="P645" i="2" s="1"/>
  <c r="O646" i="2"/>
  <c r="P646" i="2" s="1"/>
  <c r="O647" i="2"/>
  <c r="P647" i="2" s="1"/>
  <c r="O648" i="2"/>
  <c r="P648" i="2" s="1"/>
  <c r="O649" i="2"/>
  <c r="P649" i="2" s="1"/>
  <c r="O650" i="2"/>
  <c r="P650" i="2" s="1"/>
  <c r="O651" i="2"/>
  <c r="P651" i="2" s="1"/>
  <c r="O652" i="2"/>
  <c r="P652" i="2" s="1"/>
  <c r="O653" i="2"/>
  <c r="P653" i="2" s="1"/>
  <c r="O654" i="2"/>
  <c r="P654" i="2" s="1"/>
  <c r="O655" i="2"/>
  <c r="P655" i="2" s="1"/>
  <c r="O656" i="2"/>
  <c r="P656" i="2" s="1"/>
  <c r="O657" i="2"/>
  <c r="P657" i="2" s="1"/>
  <c r="O658" i="2"/>
  <c r="P658" i="2" s="1"/>
  <c r="O659" i="2"/>
  <c r="P659" i="2" s="1"/>
  <c r="O660" i="2"/>
  <c r="P660" i="2" s="1"/>
  <c r="O661" i="2"/>
  <c r="P661" i="2" s="1"/>
  <c r="O662" i="2"/>
  <c r="P662" i="2" s="1"/>
  <c r="O663" i="2"/>
  <c r="P663" i="2" s="1"/>
  <c r="O664" i="2"/>
  <c r="P664" i="2" s="1"/>
  <c r="O665" i="2"/>
  <c r="P665" i="2" s="1"/>
  <c r="O666" i="2"/>
  <c r="P666" i="2" s="1"/>
  <c r="O667" i="2"/>
  <c r="P667" i="2" s="1"/>
  <c r="O668" i="2"/>
  <c r="P668" i="2" s="1"/>
  <c r="O669" i="2"/>
  <c r="P669" i="2" s="1"/>
  <c r="O670" i="2"/>
  <c r="P670" i="2" s="1"/>
  <c r="O671" i="2"/>
  <c r="P671" i="2" s="1"/>
  <c r="O672" i="2"/>
  <c r="P672" i="2" s="1"/>
  <c r="O673" i="2"/>
  <c r="P673" i="2" s="1"/>
  <c r="O674" i="2"/>
  <c r="P674" i="2" s="1"/>
  <c r="O675" i="2"/>
  <c r="P675" i="2" s="1"/>
  <c r="O676" i="2"/>
  <c r="P676" i="2" s="1"/>
  <c r="O677" i="2"/>
  <c r="P677" i="2" s="1"/>
  <c r="O678" i="2"/>
  <c r="P678" i="2" s="1"/>
  <c r="O679" i="2"/>
  <c r="P679" i="2" s="1"/>
  <c r="O680" i="2"/>
  <c r="P680" i="2" s="1"/>
  <c r="O681" i="2"/>
  <c r="P681" i="2" s="1"/>
  <c r="O682" i="2"/>
  <c r="P682" i="2" s="1"/>
  <c r="O683" i="2"/>
  <c r="P683" i="2" s="1"/>
  <c r="O684" i="2"/>
  <c r="P684" i="2" s="1"/>
  <c r="O685" i="2"/>
  <c r="P685" i="2" s="1"/>
  <c r="O686" i="2"/>
  <c r="P686" i="2" s="1"/>
  <c r="O687" i="2"/>
  <c r="P687" i="2" s="1"/>
  <c r="O688" i="2"/>
  <c r="P688" i="2" s="1"/>
  <c r="O689" i="2"/>
  <c r="P689" i="2" s="1"/>
  <c r="O690" i="2"/>
  <c r="P690" i="2" s="1"/>
  <c r="O691" i="2"/>
  <c r="P691" i="2" s="1"/>
  <c r="O692" i="2"/>
  <c r="P692" i="2" s="1"/>
  <c r="O693" i="2"/>
  <c r="P693" i="2" s="1"/>
  <c r="O694" i="2"/>
  <c r="P694" i="2" s="1"/>
  <c r="O695" i="2"/>
  <c r="P695" i="2" s="1"/>
  <c r="O696" i="2"/>
  <c r="P696" i="2" s="1"/>
  <c r="O697" i="2"/>
  <c r="P697" i="2" s="1"/>
  <c r="O698" i="2"/>
  <c r="P698" i="2" s="1"/>
  <c r="O699" i="2"/>
  <c r="P699" i="2" s="1"/>
  <c r="O700" i="2"/>
  <c r="P700" i="2" s="1"/>
  <c r="O701" i="2"/>
  <c r="P701" i="2" s="1"/>
  <c r="O702" i="2"/>
  <c r="P702" i="2" s="1"/>
  <c r="O703" i="2"/>
  <c r="P703" i="2" s="1"/>
  <c r="O704" i="2"/>
  <c r="P704" i="2" s="1"/>
  <c r="O705" i="2"/>
  <c r="P705" i="2" s="1"/>
  <c r="O706" i="2"/>
  <c r="P706" i="2" s="1"/>
  <c r="O707" i="2"/>
  <c r="P707" i="2" s="1"/>
  <c r="O708" i="2"/>
  <c r="P708" i="2" s="1"/>
  <c r="O709" i="2"/>
  <c r="P709" i="2" s="1"/>
  <c r="O710" i="2"/>
  <c r="P710" i="2" s="1"/>
  <c r="O711" i="2"/>
  <c r="P711" i="2" s="1"/>
  <c r="O712" i="2"/>
  <c r="P712" i="2" s="1"/>
  <c r="O713" i="2"/>
  <c r="P713" i="2" s="1"/>
  <c r="O714" i="2"/>
  <c r="P714" i="2" s="1"/>
  <c r="O715" i="2"/>
  <c r="P715" i="2" s="1"/>
  <c r="O716" i="2"/>
  <c r="P716" i="2" s="1"/>
  <c r="O717" i="2"/>
  <c r="P717" i="2" s="1"/>
  <c r="O718" i="2"/>
  <c r="P718" i="2" s="1"/>
  <c r="O719" i="2"/>
  <c r="P719" i="2" s="1"/>
  <c r="O720" i="2"/>
  <c r="P720" i="2" s="1"/>
  <c r="O721" i="2"/>
  <c r="P721" i="2" s="1"/>
  <c r="O722" i="2"/>
  <c r="P722" i="2" s="1"/>
  <c r="O723" i="2"/>
  <c r="P723" i="2" s="1"/>
  <c r="O724" i="2"/>
  <c r="P724" i="2" s="1"/>
  <c r="O725" i="2"/>
  <c r="P725" i="2" s="1"/>
  <c r="O726" i="2"/>
  <c r="P726" i="2" s="1"/>
  <c r="O727" i="2"/>
  <c r="P727" i="2" s="1"/>
  <c r="O728" i="2"/>
  <c r="P728" i="2" s="1"/>
  <c r="O729" i="2"/>
  <c r="P729" i="2" s="1"/>
  <c r="O730" i="2"/>
  <c r="P730" i="2" s="1"/>
  <c r="O731" i="2"/>
  <c r="P731" i="2" s="1"/>
  <c r="O732" i="2"/>
  <c r="P732" i="2" s="1"/>
  <c r="O733" i="2"/>
  <c r="P733" i="2" s="1"/>
  <c r="O734" i="2"/>
  <c r="P734" i="2" s="1"/>
  <c r="O735" i="2"/>
  <c r="P735" i="2" s="1"/>
  <c r="O736" i="2"/>
  <c r="P736" i="2" s="1"/>
  <c r="O737" i="2"/>
  <c r="P737" i="2" s="1"/>
  <c r="O738" i="2"/>
  <c r="P738" i="2" s="1"/>
  <c r="O739" i="2"/>
  <c r="P739" i="2" s="1"/>
  <c r="O740" i="2"/>
  <c r="P740" i="2" s="1"/>
  <c r="O741" i="2"/>
  <c r="P741" i="2" s="1"/>
  <c r="O742" i="2"/>
  <c r="P742" i="2" s="1"/>
  <c r="O743" i="2"/>
  <c r="P743" i="2" s="1"/>
  <c r="O744" i="2"/>
  <c r="P744" i="2" s="1"/>
  <c r="O745" i="2"/>
  <c r="P745" i="2" s="1"/>
  <c r="O746" i="2"/>
  <c r="P746" i="2" s="1"/>
  <c r="O747" i="2"/>
  <c r="P747" i="2" s="1"/>
  <c r="O748" i="2"/>
  <c r="P748" i="2" s="1"/>
  <c r="O749" i="2"/>
  <c r="P749" i="2" s="1"/>
  <c r="O750" i="2"/>
  <c r="P750" i="2" s="1"/>
  <c r="O751" i="2"/>
  <c r="P751" i="2" s="1"/>
  <c r="O752" i="2"/>
  <c r="P752" i="2" s="1"/>
  <c r="O753" i="2"/>
  <c r="P753" i="2" s="1"/>
  <c r="O754" i="2"/>
  <c r="P754" i="2" s="1"/>
  <c r="O755" i="2"/>
  <c r="P755" i="2" s="1"/>
  <c r="O756" i="2"/>
  <c r="P756" i="2" s="1"/>
  <c r="O757" i="2"/>
  <c r="P757" i="2" s="1"/>
  <c r="O758" i="2"/>
  <c r="P758" i="2" s="1"/>
  <c r="O759" i="2"/>
  <c r="P759" i="2" s="1"/>
  <c r="O760" i="2"/>
  <c r="P760" i="2" s="1"/>
  <c r="O761" i="2"/>
  <c r="P761" i="2" s="1"/>
  <c r="O762" i="2"/>
  <c r="P762" i="2" s="1"/>
  <c r="O763" i="2"/>
  <c r="P763" i="2" s="1"/>
  <c r="O764" i="2"/>
  <c r="P764" i="2" s="1"/>
  <c r="O765" i="2"/>
  <c r="P765" i="2" s="1"/>
  <c r="O766" i="2"/>
  <c r="P766" i="2" s="1"/>
  <c r="O767" i="2"/>
  <c r="P767" i="2" s="1"/>
  <c r="O768" i="2"/>
  <c r="P768" i="2" s="1"/>
  <c r="O769" i="2"/>
  <c r="P769" i="2" s="1"/>
  <c r="O770" i="2"/>
  <c r="P770" i="2" s="1"/>
  <c r="O771" i="2"/>
  <c r="P771" i="2" s="1"/>
  <c r="O772" i="2"/>
  <c r="P772" i="2" s="1"/>
  <c r="O773" i="2"/>
  <c r="P773" i="2" s="1"/>
  <c r="O774" i="2"/>
  <c r="P774" i="2" s="1"/>
  <c r="O775" i="2"/>
  <c r="P775" i="2" s="1"/>
  <c r="O776" i="2"/>
  <c r="P776" i="2" s="1"/>
  <c r="O777" i="2"/>
  <c r="P777" i="2" s="1"/>
  <c r="O778" i="2"/>
  <c r="P778" i="2" s="1"/>
  <c r="O779" i="2"/>
  <c r="P779" i="2" s="1"/>
  <c r="O780" i="2"/>
  <c r="P780" i="2" s="1"/>
  <c r="O781" i="2"/>
  <c r="P781" i="2" s="1"/>
  <c r="O782" i="2"/>
  <c r="P782" i="2" s="1"/>
  <c r="O783" i="2"/>
  <c r="P783" i="2" s="1"/>
  <c r="O784" i="2"/>
  <c r="P784" i="2" s="1"/>
  <c r="O785" i="2"/>
  <c r="P785" i="2" s="1"/>
  <c r="O786" i="2"/>
  <c r="P786" i="2" s="1"/>
  <c r="O787" i="2"/>
  <c r="P787" i="2" s="1"/>
  <c r="O788" i="2"/>
  <c r="P788" i="2" s="1"/>
  <c r="O789" i="2"/>
  <c r="P789" i="2" s="1"/>
  <c r="O790" i="2"/>
  <c r="P790" i="2" s="1"/>
  <c r="O791" i="2"/>
  <c r="P791" i="2" s="1"/>
  <c r="O792" i="2"/>
  <c r="P792" i="2" s="1"/>
  <c r="O793" i="2"/>
  <c r="P793" i="2" s="1"/>
  <c r="O794" i="2"/>
  <c r="P794" i="2" s="1"/>
  <c r="O795" i="2"/>
  <c r="P795" i="2" s="1"/>
  <c r="O796" i="2"/>
  <c r="P796" i="2" s="1"/>
  <c r="O797" i="2"/>
  <c r="P797" i="2" s="1"/>
  <c r="O798" i="2"/>
  <c r="P798" i="2" s="1"/>
  <c r="O799" i="2"/>
  <c r="P799" i="2" s="1"/>
  <c r="O800" i="2"/>
  <c r="P800" i="2" s="1"/>
  <c r="O801" i="2"/>
  <c r="P801" i="2" s="1"/>
  <c r="O802" i="2"/>
  <c r="P802" i="2" s="1"/>
  <c r="O803" i="2"/>
  <c r="P803" i="2" s="1"/>
  <c r="O804" i="2"/>
  <c r="P804" i="2" s="1"/>
  <c r="O805" i="2"/>
  <c r="P805" i="2" s="1"/>
  <c r="O806" i="2"/>
  <c r="P806" i="2" s="1"/>
  <c r="O807" i="2"/>
  <c r="P807" i="2" s="1"/>
  <c r="O808" i="2"/>
  <c r="P808" i="2" s="1"/>
  <c r="O809" i="2"/>
  <c r="P809" i="2" s="1"/>
  <c r="O810" i="2"/>
  <c r="P810" i="2" s="1"/>
  <c r="O811" i="2"/>
  <c r="P811" i="2" s="1"/>
  <c r="O812" i="2"/>
  <c r="P812" i="2" s="1"/>
  <c r="O813" i="2"/>
  <c r="P813" i="2" s="1"/>
  <c r="O814" i="2"/>
  <c r="P814" i="2" s="1"/>
  <c r="O815" i="2"/>
  <c r="P815" i="2" s="1"/>
  <c r="O816" i="2"/>
  <c r="P816" i="2" s="1"/>
  <c r="O817" i="2"/>
  <c r="P817" i="2" s="1"/>
  <c r="O818" i="2"/>
  <c r="P818" i="2" s="1"/>
  <c r="O819" i="2"/>
  <c r="P819" i="2" s="1"/>
  <c r="O820" i="2"/>
  <c r="P820" i="2" s="1"/>
  <c r="O821" i="2"/>
  <c r="P821" i="2" s="1"/>
  <c r="O822" i="2"/>
  <c r="P822" i="2" s="1"/>
  <c r="O823" i="2"/>
  <c r="P823" i="2" s="1"/>
  <c r="O824" i="2"/>
  <c r="P824" i="2" s="1"/>
  <c r="O825" i="2"/>
  <c r="P825" i="2" s="1"/>
  <c r="O826" i="2"/>
  <c r="P826" i="2" s="1"/>
  <c r="O827" i="2"/>
  <c r="P827" i="2" s="1"/>
  <c r="O828" i="2"/>
  <c r="P828" i="2" s="1"/>
  <c r="O829" i="2"/>
  <c r="P829" i="2" s="1"/>
  <c r="O830" i="2"/>
  <c r="P830" i="2" s="1"/>
  <c r="O831" i="2"/>
  <c r="P831" i="2" s="1"/>
  <c r="O832" i="2"/>
  <c r="P832" i="2" s="1"/>
  <c r="O833" i="2"/>
  <c r="P833" i="2" s="1"/>
  <c r="O834" i="2"/>
  <c r="P834" i="2" s="1"/>
  <c r="O835" i="2"/>
  <c r="P835" i="2" s="1"/>
  <c r="O836" i="2"/>
  <c r="P836" i="2" s="1"/>
  <c r="O837" i="2"/>
  <c r="P837" i="2" s="1"/>
  <c r="O838" i="2"/>
  <c r="P838" i="2" s="1"/>
  <c r="O839" i="2"/>
  <c r="P839" i="2" s="1"/>
  <c r="O840" i="2"/>
  <c r="P840" i="2" s="1"/>
  <c r="O841" i="2"/>
  <c r="P841" i="2" s="1"/>
  <c r="O842" i="2"/>
  <c r="P842" i="2" s="1"/>
  <c r="O843" i="2"/>
  <c r="P843" i="2" s="1"/>
  <c r="O844" i="2"/>
  <c r="P844" i="2" s="1"/>
  <c r="O845" i="2"/>
  <c r="P845" i="2" s="1"/>
  <c r="O846" i="2"/>
  <c r="P846" i="2" s="1"/>
  <c r="O847" i="2"/>
  <c r="P847" i="2" s="1"/>
  <c r="O848" i="2"/>
  <c r="P848" i="2" s="1"/>
  <c r="O849" i="2"/>
  <c r="P849" i="2" s="1"/>
  <c r="O850" i="2"/>
  <c r="P850" i="2" s="1"/>
  <c r="O851" i="2"/>
  <c r="P851" i="2" s="1"/>
  <c r="O852" i="2"/>
  <c r="P852" i="2" s="1"/>
  <c r="O853" i="2"/>
  <c r="P853" i="2" s="1"/>
  <c r="O854" i="2"/>
  <c r="P854" i="2" s="1"/>
  <c r="O855" i="2"/>
  <c r="P855" i="2" s="1"/>
  <c r="O856" i="2"/>
  <c r="P856" i="2" s="1"/>
  <c r="O857" i="2"/>
  <c r="P857" i="2" s="1"/>
  <c r="O858" i="2"/>
  <c r="P858" i="2" s="1"/>
  <c r="O859" i="2"/>
  <c r="P859" i="2" s="1"/>
  <c r="O860" i="2"/>
  <c r="P860" i="2" s="1"/>
  <c r="O861" i="2"/>
  <c r="P861" i="2" s="1"/>
  <c r="O862" i="2"/>
  <c r="P862" i="2" s="1"/>
  <c r="O863" i="2"/>
  <c r="P863" i="2" s="1"/>
  <c r="O864" i="2"/>
  <c r="P864" i="2" s="1"/>
  <c r="O865" i="2"/>
  <c r="P865" i="2" s="1"/>
  <c r="O866" i="2"/>
  <c r="P866" i="2" s="1"/>
  <c r="O867" i="2"/>
  <c r="P867" i="2" s="1"/>
  <c r="O868" i="2"/>
  <c r="P868" i="2" s="1"/>
  <c r="O869" i="2"/>
  <c r="P869" i="2" s="1"/>
  <c r="O870" i="2"/>
  <c r="P870" i="2" s="1"/>
  <c r="O871" i="2"/>
  <c r="P871" i="2" s="1"/>
  <c r="O872" i="2"/>
  <c r="P872" i="2" s="1"/>
  <c r="O873" i="2"/>
  <c r="P873" i="2" s="1"/>
  <c r="O874" i="2"/>
  <c r="P874" i="2" s="1"/>
  <c r="O875" i="2"/>
  <c r="P875" i="2" s="1"/>
  <c r="O876" i="2"/>
  <c r="P876" i="2" s="1"/>
  <c r="O877" i="2"/>
  <c r="P877" i="2" s="1"/>
  <c r="O878" i="2"/>
  <c r="P878" i="2" s="1"/>
  <c r="O879" i="2"/>
  <c r="P879" i="2" s="1"/>
  <c r="O880" i="2"/>
  <c r="P880" i="2" s="1"/>
  <c r="O881" i="2"/>
  <c r="P881" i="2" s="1"/>
  <c r="O882" i="2"/>
  <c r="P882" i="2" s="1"/>
  <c r="O883" i="2"/>
  <c r="P883" i="2" s="1"/>
  <c r="O884" i="2"/>
  <c r="P884" i="2" s="1"/>
  <c r="O885" i="2"/>
  <c r="P885" i="2" s="1"/>
  <c r="O886" i="2"/>
  <c r="P886" i="2" s="1"/>
  <c r="O887" i="2"/>
  <c r="P887" i="2" s="1"/>
  <c r="O888" i="2"/>
  <c r="P888" i="2" s="1"/>
  <c r="O889" i="2"/>
  <c r="P889" i="2" s="1"/>
  <c r="O890" i="2"/>
  <c r="P890" i="2" s="1"/>
  <c r="O891" i="2"/>
  <c r="P891" i="2" s="1"/>
  <c r="O892" i="2"/>
  <c r="P892" i="2" s="1"/>
  <c r="O893" i="2"/>
  <c r="P893" i="2" s="1"/>
  <c r="O894" i="2"/>
  <c r="P894" i="2" s="1"/>
  <c r="O895" i="2"/>
  <c r="P895" i="2" s="1"/>
  <c r="O896" i="2"/>
  <c r="P896" i="2" s="1"/>
  <c r="O897" i="2"/>
  <c r="P897" i="2" s="1"/>
  <c r="O898" i="2"/>
  <c r="P898" i="2" s="1"/>
  <c r="O899" i="2"/>
  <c r="P899" i="2" s="1"/>
  <c r="O900" i="2"/>
  <c r="P900" i="2" s="1"/>
  <c r="O901" i="2"/>
  <c r="P901" i="2" s="1"/>
  <c r="O902" i="2"/>
  <c r="P902" i="2" s="1"/>
  <c r="O903" i="2"/>
  <c r="P903" i="2" s="1"/>
  <c r="O904" i="2"/>
  <c r="P904" i="2" s="1"/>
  <c r="O905" i="2"/>
  <c r="P905" i="2" s="1"/>
  <c r="O906" i="2"/>
  <c r="P906" i="2" s="1"/>
  <c r="O907" i="2"/>
  <c r="P907" i="2" s="1"/>
  <c r="O908" i="2"/>
  <c r="P908" i="2" s="1"/>
  <c r="O909" i="2"/>
  <c r="P909" i="2" s="1"/>
  <c r="O910" i="2"/>
  <c r="P910" i="2" s="1"/>
  <c r="O911" i="2"/>
  <c r="P911" i="2" s="1"/>
  <c r="O912" i="2"/>
  <c r="P912" i="2" s="1"/>
  <c r="O913" i="2"/>
  <c r="P913" i="2" s="1"/>
  <c r="O914" i="2"/>
  <c r="P914" i="2" s="1"/>
  <c r="O915" i="2"/>
  <c r="P915" i="2" s="1"/>
  <c r="O916" i="2"/>
  <c r="P916" i="2" s="1"/>
  <c r="O917" i="2"/>
  <c r="P917" i="2" s="1"/>
  <c r="O918" i="2"/>
  <c r="P918" i="2" s="1"/>
  <c r="O919" i="2"/>
  <c r="P919" i="2" s="1"/>
  <c r="O920" i="2"/>
  <c r="P920" i="2" s="1"/>
  <c r="O921" i="2"/>
  <c r="P921" i="2" s="1"/>
  <c r="O922" i="2"/>
  <c r="P922" i="2" s="1"/>
  <c r="O923" i="2"/>
  <c r="P923" i="2" s="1"/>
  <c r="O924" i="2"/>
  <c r="P924" i="2" s="1"/>
  <c r="O925" i="2"/>
  <c r="P925" i="2" s="1"/>
  <c r="O926" i="2"/>
  <c r="P926" i="2" s="1"/>
  <c r="O927" i="2"/>
  <c r="P927" i="2" s="1"/>
  <c r="O928" i="2"/>
  <c r="P928" i="2" s="1"/>
  <c r="O929" i="2"/>
  <c r="P929" i="2" s="1"/>
  <c r="O930" i="2"/>
  <c r="P930" i="2" s="1"/>
  <c r="O931" i="2"/>
  <c r="P931" i="2" s="1"/>
  <c r="O932" i="2"/>
  <c r="P932" i="2" s="1"/>
  <c r="O933" i="2"/>
  <c r="P933" i="2" s="1"/>
  <c r="O934" i="2"/>
  <c r="P934" i="2" s="1"/>
  <c r="O935" i="2"/>
  <c r="P935" i="2" s="1"/>
  <c r="O936" i="2"/>
  <c r="P936" i="2" s="1"/>
  <c r="O937" i="2"/>
  <c r="P937" i="2" s="1"/>
  <c r="O938" i="2"/>
  <c r="P938" i="2" s="1"/>
  <c r="O939" i="2"/>
  <c r="P939" i="2" s="1"/>
  <c r="O940" i="2"/>
  <c r="P940" i="2" s="1"/>
  <c r="O941" i="2"/>
  <c r="P941" i="2" s="1"/>
  <c r="O942" i="2"/>
  <c r="P942" i="2" s="1"/>
  <c r="O943" i="2"/>
  <c r="P943" i="2" s="1"/>
  <c r="O944" i="2"/>
  <c r="P944" i="2" s="1"/>
  <c r="O945" i="2"/>
  <c r="P945" i="2" s="1"/>
  <c r="O946" i="2"/>
  <c r="P946" i="2" s="1"/>
  <c r="O947" i="2"/>
  <c r="P947" i="2" s="1"/>
  <c r="O948" i="2"/>
  <c r="P948" i="2" s="1"/>
  <c r="O949" i="2"/>
  <c r="P949" i="2" s="1"/>
  <c r="O950" i="2"/>
  <c r="P950" i="2" s="1"/>
  <c r="O951" i="2"/>
  <c r="P951" i="2" s="1"/>
  <c r="O952" i="2"/>
  <c r="P952" i="2" s="1"/>
  <c r="O953" i="2"/>
  <c r="P953" i="2" s="1"/>
  <c r="O954" i="2"/>
  <c r="P954" i="2" s="1"/>
  <c r="O955" i="2"/>
  <c r="P955" i="2" s="1"/>
  <c r="O956" i="2"/>
  <c r="P956" i="2" s="1"/>
  <c r="O957" i="2"/>
  <c r="P957" i="2" s="1"/>
  <c r="O958" i="2"/>
  <c r="P958" i="2" s="1"/>
  <c r="O959" i="2"/>
  <c r="P959" i="2" s="1"/>
  <c r="O960" i="2"/>
  <c r="P960" i="2" s="1"/>
  <c r="O961" i="2"/>
  <c r="P961" i="2" s="1"/>
  <c r="O962" i="2"/>
  <c r="P962" i="2" s="1"/>
  <c r="O963" i="2"/>
  <c r="P963" i="2" s="1"/>
  <c r="O964" i="2"/>
  <c r="P964" i="2" s="1"/>
  <c r="O965" i="2"/>
  <c r="P965" i="2" s="1"/>
  <c r="O966" i="2"/>
  <c r="P966" i="2" s="1"/>
  <c r="O967" i="2"/>
  <c r="P967" i="2" s="1"/>
  <c r="O968" i="2"/>
  <c r="P968" i="2" s="1"/>
  <c r="O969" i="2"/>
  <c r="P969" i="2" s="1"/>
  <c r="O970" i="2"/>
  <c r="P970" i="2" s="1"/>
  <c r="O971" i="2"/>
  <c r="P971" i="2" s="1"/>
  <c r="O972" i="2"/>
  <c r="P972" i="2" s="1"/>
  <c r="O973" i="2"/>
  <c r="P973" i="2" s="1"/>
  <c r="O974" i="2"/>
  <c r="P974" i="2" s="1"/>
  <c r="O975" i="2"/>
  <c r="P975" i="2" s="1"/>
  <c r="O976" i="2"/>
  <c r="P976" i="2" s="1"/>
  <c r="O977" i="2"/>
  <c r="P977" i="2" s="1"/>
  <c r="O978" i="2"/>
  <c r="P978" i="2" s="1"/>
  <c r="O979" i="2"/>
  <c r="P979" i="2" s="1"/>
  <c r="O980" i="2"/>
  <c r="P980" i="2" s="1"/>
  <c r="O981" i="2"/>
  <c r="P981" i="2" s="1"/>
  <c r="O982" i="2"/>
  <c r="P982" i="2" s="1"/>
  <c r="O983" i="2"/>
  <c r="P983" i="2" s="1"/>
  <c r="O984" i="2"/>
  <c r="P984" i="2" s="1"/>
  <c r="O985" i="2"/>
  <c r="P985" i="2" s="1"/>
  <c r="O986" i="2"/>
  <c r="P986" i="2" s="1"/>
  <c r="O987" i="2"/>
  <c r="P987" i="2" s="1"/>
  <c r="O988" i="2"/>
  <c r="P988" i="2" s="1"/>
  <c r="O989" i="2"/>
  <c r="P989" i="2" s="1"/>
  <c r="O990" i="2"/>
  <c r="P990" i="2" s="1"/>
  <c r="O991" i="2"/>
  <c r="P991" i="2" s="1"/>
  <c r="O992" i="2"/>
  <c r="P992" i="2" s="1"/>
  <c r="O993" i="2"/>
  <c r="P993" i="2" s="1"/>
  <c r="O994" i="2"/>
  <c r="P994" i="2" s="1"/>
  <c r="O995" i="2"/>
  <c r="P995" i="2" s="1"/>
  <c r="O996" i="2"/>
  <c r="P996" i="2" s="1"/>
  <c r="O997" i="2"/>
  <c r="P997" i="2" s="1"/>
  <c r="O998" i="2"/>
  <c r="P998" i="2" s="1"/>
  <c r="O999" i="2"/>
  <c r="P999" i="2" s="1"/>
  <c r="O1000" i="2"/>
  <c r="P1000" i="2" s="1"/>
  <c r="O1001" i="2"/>
  <c r="P1001" i="2" s="1"/>
  <c r="O1002" i="2"/>
  <c r="P1002" i="2" s="1"/>
  <c r="O1003" i="2"/>
  <c r="P1003" i="2" s="1"/>
  <c r="O1004" i="2"/>
  <c r="P1004" i="2" s="1"/>
  <c r="O1005" i="2"/>
  <c r="P1005" i="2" s="1"/>
  <c r="O1006" i="2"/>
  <c r="P1006" i="2" s="1"/>
  <c r="O1007" i="2"/>
  <c r="P1007" i="2" s="1"/>
  <c r="O1008" i="2"/>
  <c r="P1008" i="2" s="1"/>
  <c r="O1009" i="2"/>
  <c r="P1009" i="2" s="1"/>
  <c r="O1010" i="2"/>
  <c r="P1010" i="2" s="1"/>
  <c r="O1011" i="2"/>
  <c r="P1011" i="2" s="1"/>
  <c r="O1012" i="2"/>
  <c r="P1012" i="2" s="1"/>
  <c r="O1013" i="2"/>
  <c r="P1013" i="2" s="1"/>
  <c r="O1014" i="2"/>
  <c r="P1014" i="2" s="1"/>
  <c r="O1015" i="2"/>
  <c r="P1015" i="2" s="1"/>
  <c r="O1016" i="2"/>
  <c r="P1016" i="2" s="1"/>
  <c r="O1017" i="2"/>
  <c r="P1017" i="2" s="1"/>
  <c r="O1018" i="2"/>
  <c r="P1018" i="2" s="1"/>
  <c r="O1019" i="2"/>
  <c r="P1019" i="2" s="1"/>
  <c r="O1020" i="2"/>
  <c r="P1020" i="2" s="1"/>
  <c r="O1021" i="2"/>
  <c r="P1021" i="2" s="1"/>
  <c r="O1022" i="2"/>
  <c r="P1022" i="2" s="1"/>
  <c r="O1023" i="2"/>
  <c r="P1023" i="2" s="1"/>
  <c r="O1024" i="2"/>
  <c r="P1024" i="2" s="1"/>
  <c r="O1025" i="2"/>
  <c r="P1025" i="2" s="1"/>
  <c r="O1026" i="2"/>
  <c r="P1026" i="2" s="1"/>
  <c r="O1027" i="2"/>
  <c r="P1027" i="2" s="1"/>
  <c r="O1028" i="2"/>
  <c r="P1028" i="2" s="1"/>
  <c r="O1029" i="2"/>
  <c r="P1029" i="2" s="1"/>
  <c r="O1030" i="2"/>
  <c r="P1030" i="2" s="1"/>
  <c r="O1031" i="2"/>
  <c r="P1031" i="2" s="1"/>
  <c r="O1032" i="2"/>
  <c r="P1032" i="2" s="1"/>
  <c r="O1033" i="2"/>
  <c r="P1033" i="2" s="1"/>
  <c r="O1034" i="2"/>
  <c r="P1034" i="2" s="1"/>
  <c r="O1035" i="2"/>
  <c r="P1035" i="2" s="1"/>
  <c r="O1036" i="2"/>
  <c r="P1036" i="2" s="1"/>
  <c r="O1037" i="2"/>
  <c r="P1037" i="2" s="1"/>
  <c r="O1038" i="2"/>
  <c r="P1038" i="2" s="1"/>
  <c r="O1039" i="2"/>
  <c r="P1039" i="2" s="1"/>
  <c r="O1040" i="2"/>
  <c r="P1040" i="2" s="1"/>
  <c r="O1041" i="2"/>
  <c r="P1041" i="2" s="1"/>
  <c r="O1042" i="2"/>
  <c r="P1042" i="2" s="1"/>
  <c r="O1043" i="2"/>
  <c r="P1043" i="2" s="1"/>
  <c r="O1044" i="2"/>
  <c r="P1044" i="2" s="1"/>
  <c r="O1045" i="2"/>
  <c r="P1045" i="2" s="1"/>
  <c r="O1046" i="2"/>
  <c r="P1046" i="2" s="1"/>
  <c r="O1047" i="2"/>
  <c r="P1047" i="2" s="1"/>
  <c r="O1048" i="2"/>
  <c r="P1048" i="2" s="1"/>
  <c r="O1049" i="2"/>
  <c r="P1049" i="2" s="1"/>
  <c r="O1050" i="2"/>
  <c r="P1050" i="2" s="1"/>
  <c r="O1051" i="2"/>
  <c r="P1051" i="2" s="1"/>
  <c r="O1052" i="2"/>
  <c r="P1052" i="2" s="1"/>
  <c r="O1053" i="2"/>
  <c r="P1053" i="2" s="1"/>
  <c r="O1054" i="2"/>
  <c r="P1054" i="2" s="1"/>
  <c r="O1055" i="2"/>
  <c r="P1055" i="2" s="1"/>
  <c r="O1056" i="2"/>
  <c r="P1056" i="2" s="1"/>
  <c r="O1057" i="2"/>
  <c r="P1057" i="2" s="1"/>
  <c r="O1058" i="2"/>
  <c r="P1058" i="2" s="1"/>
  <c r="O1059" i="2"/>
  <c r="P1059" i="2" s="1"/>
  <c r="O1060" i="2"/>
  <c r="P1060" i="2" s="1"/>
  <c r="O1061" i="2"/>
  <c r="P1061" i="2" s="1"/>
  <c r="O1062" i="2"/>
  <c r="P1062" i="2" s="1"/>
  <c r="O1063" i="2"/>
  <c r="P1063" i="2" s="1"/>
  <c r="O1064" i="2"/>
  <c r="P1064" i="2" s="1"/>
  <c r="O1065" i="2"/>
  <c r="P1065" i="2" s="1"/>
  <c r="O1066" i="2"/>
  <c r="P1066" i="2" s="1"/>
  <c r="O1067" i="2"/>
  <c r="P1067" i="2" s="1"/>
  <c r="O1068" i="2"/>
  <c r="P1068" i="2" s="1"/>
  <c r="O1069" i="2"/>
  <c r="P1069" i="2" s="1"/>
  <c r="O1070" i="2"/>
  <c r="P1070" i="2" s="1"/>
  <c r="O1071" i="2"/>
  <c r="P1071" i="2" s="1"/>
  <c r="O1072" i="2"/>
  <c r="P1072" i="2" s="1"/>
  <c r="O1073" i="2"/>
  <c r="P1073" i="2" s="1"/>
  <c r="O1074" i="2"/>
  <c r="P1074" i="2" s="1"/>
  <c r="O1075" i="2"/>
  <c r="P1075" i="2" s="1"/>
  <c r="O1076" i="2"/>
  <c r="P1076" i="2" s="1"/>
  <c r="O1077" i="2"/>
  <c r="P1077" i="2" s="1"/>
  <c r="O1078" i="2"/>
  <c r="P1078" i="2" s="1"/>
  <c r="O1079" i="2"/>
  <c r="P1079" i="2" s="1"/>
  <c r="O1080" i="2"/>
  <c r="P1080" i="2" s="1"/>
  <c r="O1081" i="2"/>
  <c r="P1081" i="2" s="1"/>
  <c r="O2" i="2"/>
  <c r="P2" i="2" s="1"/>
  <c r="M6" i="2"/>
  <c r="M1084" i="2"/>
  <c r="M29" i="2"/>
  <c r="M30" i="2"/>
  <c r="M31" i="2"/>
  <c r="M32" i="2"/>
  <c r="M33" i="2"/>
  <c r="M34" i="2"/>
  <c r="M35" i="2"/>
  <c r="M36"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7" i="2"/>
  <c r="M8" i="2"/>
  <c r="M9" i="2"/>
  <c r="M10" i="2"/>
  <c r="M11" i="2"/>
  <c r="M12" i="2"/>
  <c r="M13" i="2"/>
  <c r="M14" i="2"/>
  <c r="M15" i="2"/>
  <c r="M16" i="2"/>
  <c r="M17" i="2"/>
  <c r="M18" i="2"/>
  <c r="M19" i="2"/>
  <c r="M20" i="2"/>
  <c r="M21" i="2"/>
  <c r="M22" i="2"/>
  <c r="M23" i="2"/>
  <c r="M24" i="2"/>
  <c r="M25" i="2"/>
  <c r="M26" i="2"/>
  <c r="M27" i="2"/>
  <c r="M28" i="2"/>
  <c r="M5" i="2"/>
  <c r="H3" i="11" l="1"/>
  <c r="H4" i="11"/>
  <c r="H5" i="11"/>
  <c r="H6" i="11"/>
  <c r="H7" i="11"/>
  <c r="H8" i="11"/>
  <c r="H9" i="11"/>
  <c r="H10" i="11"/>
  <c r="H11" i="11"/>
  <c r="H12" i="11"/>
  <c r="H13" i="11"/>
  <c r="H14" i="11"/>
  <c r="H15" i="11"/>
  <c r="H16" i="11"/>
  <c r="H2" i="11"/>
  <c r="O5" i="3"/>
  <c r="O7" i="3"/>
  <c r="O6" i="3"/>
  <c r="O9" i="3"/>
  <c r="O8" i="3"/>
  <c r="O10" i="3"/>
  <c r="O11" i="3"/>
  <c r="O12" i="3"/>
  <c r="O13" i="3"/>
  <c r="O14" i="3"/>
  <c r="O15" i="3"/>
  <c r="O16" i="3"/>
  <c r="O17" i="3"/>
  <c r="O18" i="3"/>
  <c r="O19" i="3"/>
  <c r="O20" i="3"/>
  <c r="O21" i="3"/>
  <c r="O22" i="3"/>
  <c r="O23" i="3"/>
  <c r="O24" i="3"/>
  <c r="O25" i="3"/>
  <c r="O27" i="3"/>
  <c r="O28" i="3"/>
  <c r="O26" i="3"/>
  <c r="O30" i="3"/>
  <c r="O29" i="3"/>
  <c r="O31" i="3"/>
  <c r="O32" i="3"/>
  <c r="O34" i="3"/>
  <c r="O33" i="3"/>
  <c r="O36" i="3"/>
  <c r="O35" i="3"/>
  <c r="O37" i="3"/>
  <c r="O38" i="3"/>
  <c r="O40" i="3"/>
  <c r="O39" i="3"/>
  <c r="O42" i="3"/>
  <c r="O41" i="3"/>
  <c r="O43" i="3"/>
  <c r="O44" i="3"/>
  <c r="O46" i="3"/>
  <c r="O45" i="3"/>
  <c r="O2" i="3"/>
  <c r="O3" i="3"/>
  <c r="O4" i="3"/>
  <c r="S3" i="1"/>
  <c r="S4" i="1"/>
  <c r="S5" i="1"/>
  <c r="S6" i="1"/>
  <c r="S7" i="1"/>
  <c r="S8" i="1"/>
  <c r="S9" i="1"/>
  <c r="S10" i="1"/>
  <c r="S11" i="1"/>
  <c r="S12" i="1"/>
  <c r="S13" i="1"/>
  <c r="S14" i="1"/>
  <c r="S15" i="1"/>
  <c r="S16" i="1"/>
  <c r="P2" i="1"/>
  <c r="S2" i="1"/>
  <c r="M2" i="3"/>
  <c r="M4" i="3"/>
  <c r="M3" i="3"/>
  <c r="M7" i="3"/>
  <c r="M6" i="3"/>
  <c r="M5" i="3"/>
  <c r="M10" i="3"/>
  <c r="M9" i="3"/>
  <c r="M8" i="3"/>
  <c r="M13" i="3"/>
  <c r="M12" i="3"/>
  <c r="M11" i="3"/>
  <c r="M15" i="3"/>
  <c r="M14" i="3"/>
  <c r="M16" i="3"/>
  <c r="M18" i="3"/>
  <c r="M17" i="3"/>
  <c r="M19" i="3"/>
  <c r="M21" i="3"/>
  <c r="M20" i="3"/>
  <c r="M22" i="3"/>
  <c r="M25" i="3"/>
  <c r="M24" i="3"/>
  <c r="M23" i="3"/>
  <c r="M27" i="3"/>
  <c r="M26" i="3"/>
  <c r="M28" i="3"/>
  <c r="M31" i="3"/>
  <c r="M29" i="3"/>
  <c r="M30" i="3"/>
  <c r="M33" i="3"/>
  <c r="M34" i="3"/>
  <c r="M32" i="3"/>
  <c r="M36" i="3"/>
  <c r="M35" i="3"/>
  <c r="M37" i="3"/>
  <c r="M40" i="3"/>
  <c r="M39" i="3"/>
  <c r="M38" i="3"/>
  <c r="M41" i="3"/>
  <c r="M42" i="3"/>
  <c r="M43" i="3"/>
  <c r="M46" i="3"/>
  <c r="M44" i="3"/>
  <c r="M45" i="3"/>
  <c r="P4" i="1"/>
  <c r="P10" i="1"/>
  <c r="P12" i="1"/>
  <c r="P16" i="1"/>
  <c r="P7" i="1"/>
  <c r="P13" i="1"/>
  <c r="P15" i="1"/>
  <c r="P9" i="1"/>
  <c r="P14" i="1"/>
  <c r="P6" i="1"/>
  <c r="P11" i="1"/>
  <c r="P3" i="1"/>
  <c r="P8" i="1"/>
  <c r="P5" i="1"/>
  <c r="L2" i="3"/>
  <c r="L4" i="3"/>
  <c r="L3" i="3"/>
  <c r="V35" i="2"/>
  <c r="V36" i="2"/>
  <c r="V37" i="2"/>
  <c r="V38" i="2"/>
  <c r="V39" i="2"/>
  <c r="V40" i="2"/>
  <c r="V41" i="2"/>
  <c r="V42" i="2"/>
  <c r="V43" i="2"/>
  <c r="W43" i="2"/>
  <c r="X43" i="2"/>
  <c r="V44" i="2"/>
  <c r="X44" i="2" s="1"/>
  <c r="W44" i="2"/>
  <c r="V45" i="2"/>
  <c r="X45" i="2" s="1"/>
  <c r="W45" i="2"/>
  <c r="V46" i="2"/>
  <c r="W46" i="2" s="1"/>
  <c r="V3" i="2"/>
  <c r="V4" i="2"/>
  <c r="X4" i="2" s="1"/>
  <c r="W4" i="2"/>
  <c r="V5" i="2"/>
  <c r="V6" i="2"/>
  <c r="V7" i="2"/>
  <c r="V8" i="2"/>
  <c r="V9" i="2"/>
  <c r="W10" i="2"/>
  <c r="X10" i="2" s="1"/>
  <c r="V10" i="2"/>
  <c r="V11" i="2"/>
  <c r="V12" i="2"/>
  <c r="W12" i="2"/>
  <c r="X12" i="2"/>
  <c r="V13" i="2"/>
  <c r="W13" i="2" s="1"/>
  <c r="V14" i="2"/>
  <c r="V15" i="2"/>
  <c r="V16" i="2"/>
  <c r="V17" i="2"/>
  <c r="X18" i="2"/>
  <c r="V18" i="2"/>
  <c r="W18" i="2"/>
  <c r="V19" i="2"/>
  <c r="W19" i="2" s="1"/>
  <c r="V20" i="2"/>
  <c r="W20" i="2"/>
  <c r="X20" i="2"/>
  <c r="V21" i="2"/>
  <c r="V22" i="2"/>
  <c r="V23" i="2"/>
  <c r="W23" i="2"/>
  <c r="X23" i="2" s="1"/>
  <c r="V24" i="2"/>
  <c r="W24" i="2" s="1"/>
  <c r="V25" i="2"/>
  <c r="W25" i="2"/>
  <c r="X25" i="2"/>
  <c r="V26" i="2"/>
  <c r="V27" i="2"/>
  <c r="W27" i="2" s="1"/>
  <c r="V28" i="2"/>
  <c r="W28" i="2"/>
  <c r="X28" i="2"/>
  <c r="V29" i="2"/>
  <c r="W29" i="2"/>
  <c r="X29" i="2" s="1"/>
  <c r="V30" i="2"/>
  <c r="V31" i="2"/>
  <c r="V32" i="2"/>
  <c r="V33" i="2"/>
  <c r="X33" i="2" s="1"/>
  <c r="W33" i="2"/>
  <c r="V34" i="2"/>
  <c r="V2" i="2"/>
  <c r="N4" i="2"/>
  <c r="N5" i="2" s="1"/>
  <c r="Q3" i="2"/>
  <c r="S2" i="2"/>
  <c r="N6" i="3" l="1"/>
  <c r="N7" i="3"/>
  <c r="N5" i="3"/>
  <c r="N10" i="3"/>
  <c r="N9" i="3"/>
  <c r="N8" i="3"/>
  <c r="N12" i="3"/>
  <c r="N13" i="3"/>
  <c r="N11" i="3"/>
  <c r="N15" i="3"/>
  <c r="N16" i="3"/>
  <c r="N14" i="3"/>
  <c r="N18" i="3"/>
  <c r="N19" i="3"/>
  <c r="N17" i="3"/>
  <c r="N21" i="3"/>
  <c r="N20" i="3"/>
  <c r="N22" i="3"/>
  <c r="N24" i="3"/>
  <c r="N25" i="3"/>
  <c r="N23" i="3"/>
  <c r="N28" i="3"/>
  <c r="N26" i="3"/>
  <c r="N27" i="3"/>
  <c r="N30" i="3"/>
  <c r="N31" i="3"/>
  <c r="N29" i="3"/>
  <c r="N32" i="3"/>
  <c r="N34" i="3"/>
  <c r="N33" i="3"/>
  <c r="N37" i="3"/>
  <c r="N36" i="3"/>
  <c r="N35" i="3"/>
  <c r="N39" i="3"/>
  <c r="N38" i="3"/>
  <c r="N40" i="3"/>
  <c r="N42" i="3"/>
  <c r="N41" i="3"/>
  <c r="N43" i="3"/>
  <c r="N44" i="3"/>
  <c r="N46" i="3"/>
  <c r="N45" i="3"/>
  <c r="N2" i="3"/>
  <c r="N4" i="3"/>
  <c r="N3" i="3"/>
  <c r="L9" i="3"/>
  <c r="L10" i="3"/>
  <c r="L8" i="3"/>
  <c r="L26" i="3"/>
  <c r="L27" i="3"/>
  <c r="L28" i="3"/>
  <c r="L33" i="3"/>
  <c r="L34" i="3"/>
  <c r="L32" i="3"/>
  <c r="L45" i="3"/>
  <c r="L46" i="3"/>
  <c r="L44" i="3"/>
  <c r="L19" i="3"/>
  <c r="L17" i="3"/>
  <c r="L18" i="3"/>
  <c r="L36" i="3"/>
  <c r="L37" i="3"/>
  <c r="L35" i="3"/>
  <c r="L42" i="3"/>
  <c r="L43" i="3"/>
  <c r="L41" i="3"/>
  <c r="L25" i="3"/>
  <c r="L24" i="3"/>
  <c r="L23" i="3"/>
  <c r="L40" i="3"/>
  <c r="L39" i="3"/>
  <c r="L38" i="3"/>
  <c r="L16" i="3"/>
  <c r="L15" i="3"/>
  <c r="L14" i="3"/>
  <c r="L30" i="3"/>
  <c r="L29" i="3"/>
  <c r="L31" i="3"/>
  <c r="L7" i="3"/>
  <c r="L5" i="3"/>
  <c r="L6" i="3"/>
  <c r="L21" i="3"/>
  <c r="L20" i="3"/>
  <c r="L22" i="3"/>
  <c r="L13" i="3"/>
  <c r="L12" i="3"/>
  <c r="L11" i="3"/>
  <c r="W5" i="2"/>
  <c r="W6" i="2"/>
  <c r="Y43" i="2"/>
  <c r="Z43" i="2"/>
  <c r="Y44" i="2"/>
  <c r="Z44" i="2" s="1"/>
  <c r="Y45" i="2"/>
  <c r="Z45" i="2" s="1"/>
  <c r="Y4" i="2"/>
  <c r="Z4" i="2" s="1"/>
  <c r="Y10" i="2"/>
  <c r="Z10" i="2" s="1"/>
  <c r="Y12" i="2"/>
  <c r="Z12" i="2"/>
  <c r="Y18" i="2"/>
  <c r="Z18" i="2"/>
  <c r="Y20" i="2"/>
  <c r="Z20" i="2"/>
  <c r="Y33" i="2"/>
  <c r="Z33" i="2" s="1"/>
  <c r="Y23" i="2"/>
  <c r="Z23" i="2" s="1"/>
  <c r="Y25" i="2"/>
  <c r="Z25" i="2"/>
  <c r="Y28" i="2"/>
  <c r="Z28" i="2"/>
  <c r="Y29" i="2"/>
  <c r="Z29" i="2" s="1"/>
  <c r="W35" i="2"/>
  <c r="X35" i="2"/>
  <c r="W36" i="2"/>
  <c r="X36" i="2" s="1"/>
  <c r="W37" i="2"/>
  <c r="X37" i="2" s="1"/>
  <c r="W38" i="2"/>
  <c r="X38" i="2" s="1"/>
  <c r="W39" i="2"/>
  <c r="X39" i="2" s="1"/>
  <c r="W40" i="2"/>
  <c r="X40" i="2"/>
  <c r="W41" i="2"/>
  <c r="X41" i="2" s="1"/>
  <c r="W42" i="2"/>
  <c r="X42" i="2"/>
  <c r="X46" i="2"/>
  <c r="Z46" i="2" s="1"/>
  <c r="Y46" i="2"/>
  <c r="W3" i="2"/>
  <c r="X3" i="2" s="1"/>
  <c r="W7" i="2"/>
  <c r="X7" i="2" s="1"/>
  <c r="W8" i="2"/>
  <c r="X8" i="2" s="1"/>
  <c r="W9" i="2"/>
  <c r="X9" i="2" s="1"/>
  <c r="W11" i="2"/>
  <c r="X11" i="2" s="1"/>
  <c r="X13" i="2"/>
  <c r="Y13" i="2"/>
  <c r="Z13" i="2"/>
  <c r="W14" i="2"/>
  <c r="X14" i="2" s="1"/>
  <c r="W15" i="2"/>
  <c r="X15" i="2" s="1"/>
  <c r="W16" i="2"/>
  <c r="X16" i="2" s="1"/>
  <c r="W17" i="2"/>
  <c r="X17" i="2"/>
  <c r="X19" i="2"/>
  <c r="Y19" i="2"/>
  <c r="Z19" i="2"/>
  <c r="W21" i="2"/>
  <c r="X21" i="2" s="1"/>
  <c r="W22" i="2"/>
  <c r="X22" i="2" s="1"/>
  <c r="X24" i="2"/>
  <c r="Y24" i="2"/>
  <c r="Z24" i="2"/>
  <c r="W26" i="2"/>
  <c r="X26" i="2" s="1"/>
  <c r="X27" i="2"/>
  <c r="Y27" i="2"/>
  <c r="Z27" i="2"/>
  <c r="W30" i="2"/>
  <c r="X30" i="2" s="1"/>
  <c r="W31" i="2"/>
  <c r="X31" i="2" s="1"/>
  <c r="W32" i="2"/>
  <c r="X32" i="2" s="1"/>
  <c r="W34" i="2"/>
  <c r="X34" i="2" s="1"/>
  <c r="W2" i="2"/>
  <c r="X2" i="2" s="1"/>
  <c r="Q4" i="2"/>
  <c r="X5" i="2" l="1"/>
  <c r="Y5" i="2" s="1"/>
  <c r="Z5" i="2"/>
  <c r="X6" i="2"/>
  <c r="Y6" i="2" s="1"/>
  <c r="Z6" i="2" s="1"/>
  <c r="Y35" i="2"/>
  <c r="Z35" i="2"/>
  <c r="Y36" i="2"/>
  <c r="Z36" i="2" s="1"/>
  <c r="Y37" i="2"/>
  <c r="Z37" i="2"/>
  <c r="Y38" i="2"/>
  <c r="Z38" i="2"/>
  <c r="Y39" i="2"/>
  <c r="Z39" i="2" s="1"/>
  <c r="Y40" i="2"/>
  <c r="Z40" i="2"/>
  <c r="Y41" i="2"/>
  <c r="Z41" i="2" s="1"/>
  <c r="Y42" i="2"/>
  <c r="Z42" i="2" s="1"/>
  <c r="Y3" i="2"/>
  <c r="Z3" i="2"/>
  <c r="Y7" i="2"/>
  <c r="Z7" i="2"/>
  <c r="Y8" i="2"/>
  <c r="Z8" i="2"/>
  <c r="Y9" i="2"/>
  <c r="Z9" i="2" s="1"/>
  <c r="Y11" i="2"/>
  <c r="Z11" i="2"/>
  <c r="Y14" i="2"/>
  <c r="Z14" i="2"/>
  <c r="Y15" i="2"/>
  <c r="Z15" i="2"/>
  <c r="Y16" i="2"/>
  <c r="Z16" i="2"/>
  <c r="Y17" i="2"/>
  <c r="Z17" i="2"/>
  <c r="Y21" i="2"/>
  <c r="Z21" i="2"/>
  <c r="Y22" i="2"/>
  <c r="Z22" i="2"/>
  <c r="Y26" i="2"/>
  <c r="Z26" i="2"/>
  <c r="Y30" i="2"/>
  <c r="Z30" i="2"/>
  <c r="Y31" i="2"/>
  <c r="Z31" i="2"/>
  <c r="Y32" i="2"/>
  <c r="Z32" i="2" s="1"/>
  <c r="Y34" i="2"/>
  <c r="Z34" i="2" s="1"/>
  <c r="Y2" i="2"/>
  <c r="Z2" i="2"/>
  <c r="Q5" i="2"/>
  <c r="N6" i="2"/>
  <c r="Q6" i="2" l="1"/>
  <c r="N7" i="2"/>
  <c r="Q7" i="2" l="1"/>
  <c r="N8" i="2"/>
  <c r="Q8" i="2" l="1"/>
  <c r="N9" i="2"/>
  <c r="Q9" i="2" l="1"/>
  <c r="N10" i="2"/>
  <c r="Q10" i="2" l="1"/>
  <c r="N11" i="2"/>
  <c r="Q11" i="2" l="1"/>
  <c r="N12" i="2"/>
  <c r="Q12" i="2" l="1"/>
  <c r="N13" i="2"/>
  <c r="Q13" i="2" l="1"/>
  <c r="N14" i="2"/>
  <c r="Q14" i="2" l="1"/>
  <c r="N15" i="2"/>
  <c r="Q15" i="2" l="1"/>
  <c r="N16" i="2"/>
  <c r="Q16" i="2" l="1"/>
  <c r="N17" i="2"/>
  <c r="Q17" i="2" l="1"/>
  <c r="N18" i="2"/>
  <c r="Q18" i="2" l="1"/>
  <c r="N19" i="2"/>
  <c r="Q19" i="2" l="1"/>
  <c r="N20" i="2"/>
  <c r="Q20" i="2" l="1"/>
  <c r="N21" i="2"/>
  <c r="Q21" i="2" l="1"/>
  <c r="N22" i="2"/>
  <c r="Q22" i="2" l="1"/>
  <c r="N23" i="2"/>
  <c r="Q23" i="2" l="1"/>
  <c r="N24" i="2"/>
  <c r="Q24" i="2" l="1"/>
  <c r="N25" i="2"/>
  <c r="Q25" i="2" l="1"/>
  <c r="N26" i="2"/>
  <c r="Q26" i="2" l="1"/>
  <c r="N27" i="2"/>
  <c r="Q27" i="2" l="1"/>
  <c r="N28" i="2"/>
  <c r="Q28" i="2" l="1"/>
  <c r="N29" i="2"/>
  <c r="Q29" i="2" l="1"/>
  <c r="N30" i="2"/>
  <c r="Q30" i="2" l="1"/>
  <c r="N31" i="2"/>
  <c r="Q31" i="2" l="1"/>
  <c r="N32" i="2"/>
  <c r="Q32" i="2" l="1"/>
  <c r="N33" i="2"/>
  <c r="Q33" i="2" l="1"/>
  <c r="N34" i="2"/>
  <c r="Q34" i="2" l="1"/>
  <c r="N35" i="2"/>
  <c r="Q35" i="2" l="1"/>
  <c r="N36" i="2"/>
  <c r="Q36" i="2" l="1"/>
  <c r="N38" i="2" l="1"/>
  <c r="Q38" i="2" l="1"/>
  <c r="N39" i="2"/>
  <c r="Q39" i="2" l="1"/>
  <c r="N40" i="2"/>
  <c r="Q40" i="2" l="1"/>
  <c r="N41" i="2"/>
  <c r="Q41" i="2" l="1"/>
  <c r="N42" i="2"/>
  <c r="Q42" i="2" l="1"/>
  <c r="N43" i="2"/>
  <c r="Q43" i="2" l="1"/>
  <c r="N44" i="2"/>
  <c r="Q44" i="2" l="1"/>
  <c r="N45" i="2"/>
  <c r="Q45" i="2" l="1"/>
  <c r="N46" i="2"/>
  <c r="Q46" i="2" l="1"/>
  <c r="N47" i="2"/>
  <c r="Q47" i="2" l="1"/>
  <c r="N48" i="2"/>
  <c r="Q48" i="2" l="1"/>
  <c r="N49" i="2"/>
  <c r="Q49" i="2" l="1"/>
  <c r="N50" i="2"/>
  <c r="Q50" i="2" l="1"/>
  <c r="N51" i="2"/>
  <c r="Q51" i="2" l="1"/>
  <c r="N52" i="2"/>
  <c r="Q52" i="2" l="1"/>
  <c r="N53" i="2"/>
  <c r="Q53" i="2" l="1"/>
  <c r="N54" i="2"/>
  <c r="Q54" i="2" l="1"/>
  <c r="N55" i="2"/>
  <c r="Q55" i="2" l="1"/>
  <c r="N56" i="2"/>
  <c r="Q56" i="2" l="1"/>
  <c r="N57" i="2"/>
  <c r="Q57" i="2" l="1"/>
  <c r="N58" i="2"/>
  <c r="Q58" i="2" l="1"/>
  <c r="N59" i="2"/>
  <c r="Q59" i="2" l="1"/>
  <c r="N60" i="2"/>
  <c r="Q60" i="2" l="1"/>
  <c r="N61" i="2"/>
  <c r="Q61" i="2" l="1"/>
  <c r="N62" i="2"/>
  <c r="Q62" i="2" l="1"/>
  <c r="N63" i="2"/>
  <c r="Q63" i="2" l="1"/>
  <c r="N64" i="2"/>
  <c r="Q64" i="2" l="1"/>
  <c r="N65" i="2"/>
  <c r="Q65" i="2" l="1"/>
  <c r="N66" i="2"/>
  <c r="Q66" i="2" l="1"/>
  <c r="N67" i="2"/>
  <c r="Q67" i="2" l="1"/>
  <c r="N68" i="2"/>
  <c r="Q68" i="2" l="1"/>
  <c r="N69" i="2"/>
  <c r="Q69" i="2" l="1"/>
  <c r="N70" i="2"/>
  <c r="Q70" i="2" l="1"/>
  <c r="N71" i="2"/>
  <c r="Q71" i="2" l="1"/>
  <c r="N72" i="2"/>
  <c r="Q72" i="2" l="1"/>
  <c r="N73" i="2"/>
  <c r="Q73" i="2" l="1"/>
  <c r="N74" i="2"/>
  <c r="Q74" i="2" l="1"/>
  <c r="N75" i="2"/>
  <c r="Q75" i="2" l="1"/>
  <c r="N76" i="2"/>
  <c r="Q76" i="2" l="1"/>
  <c r="N77" i="2"/>
  <c r="Q77" i="2" l="1"/>
  <c r="N78" i="2"/>
  <c r="Q78" i="2" l="1"/>
  <c r="N79" i="2"/>
  <c r="Q79" i="2" l="1"/>
  <c r="N80" i="2"/>
  <c r="Q80" i="2" l="1"/>
  <c r="N81" i="2"/>
  <c r="Q81" i="2" l="1"/>
  <c r="N82" i="2"/>
  <c r="Q82" i="2" l="1"/>
  <c r="N83" i="2"/>
  <c r="Q83" i="2" l="1"/>
  <c r="N84" i="2"/>
  <c r="Q84" i="2" l="1"/>
  <c r="N85" i="2"/>
  <c r="Q85" i="2" l="1"/>
  <c r="N86" i="2"/>
  <c r="Q86" i="2" l="1"/>
  <c r="N87" i="2"/>
  <c r="Q87" i="2" l="1"/>
  <c r="N88" i="2"/>
  <c r="Q88" i="2" l="1"/>
  <c r="N89" i="2"/>
  <c r="Q89" i="2" l="1"/>
  <c r="N90" i="2"/>
  <c r="Q90" i="2" l="1"/>
  <c r="N91" i="2"/>
  <c r="Q91" i="2" l="1"/>
  <c r="N92" i="2"/>
  <c r="Q92" i="2" l="1"/>
  <c r="N93" i="2"/>
  <c r="Q93" i="2" l="1"/>
  <c r="N94" i="2"/>
  <c r="Q94" i="2" l="1"/>
  <c r="N95" i="2"/>
  <c r="Q95" i="2" l="1"/>
  <c r="N96" i="2"/>
  <c r="Q96" i="2" l="1"/>
  <c r="N97" i="2"/>
  <c r="Q97" i="2" l="1"/>
  <c r="N98" i="2"/>
  <c r="Q98" i="2" l="1"/>
  <c r="N99" i="2"/>
  <c r="Q99" i="2" l="1"/>
  <c r="N100" i="2"/>
  <c r="Q100" i="2" l="1"/>
  <c r="N101" i="2"/>
  <c r="Q101" i="2" l="1"/>
  <c r="N102" i="2"/>
  <c r="Q102" i="2" l="1"/>
  <c r="N103" i="2"/>
  <c r="Q103" i="2" l="1"/>
  <c r="N104" i="2"/>
  <c r="Q104" i="2" l="1"/>
  <c r="N105" i="2"/>
  <c r="Q105" i="2" l="1"/>
  <c r="N106" i="2"/>
  <c r="Q106" i="2" l="1"/>
  <c r="N107" i="2"/>
  <c r="Q107" i="2" l="1"/>
  <c r="N108" i="2"/>
  <c r="Q108" i="2" l="1"/>
  <c r="N109" i="2"/>
  <c r="Q109" i="2" l="1"/>
  <c r="N110" i="2"/>
  <c r="Q110" i="2" l="1"/>
  <c r="N111" i="2"/>
  <c r="Q111" i="2" l="1"/>
  <c r="N112" i="2"/>
  <c r="Q112" i="2" l="1"/>
  <c r="N113" i="2"/>
  <c r="Q113" i="2" l="1"/>
  <c r="N114" i="2"/>
  <c r="Q114" i="2" l="1"/>
  <c r="N115" i="2"/>
  <c r="Q115" i="2" l="1"/>
  <c r="N116" i="2"/>
  <c r="Q116" i="2" l="1"/>
  <c r="N117" i="2"/>
  <c r="Q117" i="2" l="1"/>
  <c r="N118" i="2"/>
  <c r="Q118" i="2" l="1"/>
  <c r="N119" i="2"/>
  <c r="Q119" i="2" l="1"/>
  <c r="N120" i="2"/>
  <c r="Q120" i="2" l="1"/>
  <c r="N121" i="2"/>
  <c r="Q121" i="2" l="1"/>
  <c r="N122" i="2"/>
  <c r="Q122" i="2" l="1"/>
  <c r="N123" i="2"/>
  <c r="Q123" i="2" l="1"/>
  <c r="N124" i="2"/>
  <c r="Q124" i="2" l="1"/>
  <c r="N125" i="2"/>
  <c r="Q125" i="2" l="1"/>
  <c r="N126" i="2"/>
  <c r="Q126" i="2" l="1"/>
  <c r="N127" i="2"/>
  <c r="Q127" i="2" l="1"/>
  <c r="N128" i="2"/>
  <c r="Q128" i="2" l="1"/>
  <c r="N129" i="2"/>
  <c r="Q129" i="2" l="1"/>
  <c r="N130" i="2"/>
  <c r="Q130" i="2" l="1"/>
  <c r="N131" i="2"/>
  <c r="Q131" i="2" l="1"/>
  <c r="N132" i="2"/>
  <c r="Q132" i="2" l="1"/>
  <c r="N133" i="2"/>
  <c r="Q133" i="2" l="1"/>
  <c r="N134" i="2"/>
  <c r="Q134" i="2" l="1"/>
  <c r="N135" i="2"/>
  <c r="Q135" i="2" l="1"/>
  <c r="N136" i="2"/>
  <c r="Q136" i="2" l="1"/>
  <c r="N137" i="2"/>
  <c r="Q137" i="2" l="1"/>
  <c r="N138" i="2"/>
  <c r="Q138" i="2" l="1"/>
  <c r="N139" i="2"/>
  <c r="Q139" i="2" l="1"/>
  <c r="N140" i="2"/>
  <c r="Q140" i="2" l="1"/>
  <c r="N141" i="2"/>
  <c r="Q141" i="2" l="1"/>
  <c r="N142" i="2"/>
  <c r="Q142" i="2" l="1"/>
  <c r="N143" i="2"/>
  <c r="Q143" i="2" l="1"/>
  <c r="N144" i="2"/>
  <c r="Q144" i="2" l="1"/>
  <c r="N145" i="2"/>
  <c r="Q145" i="2" l="1"/>
  <c r="N146" i="2"/>
  <c r="Q146" i="2" l="1"/>
  <c r="N147" i="2"/>
  <c r="Q147" i="2" l="1"/>
  <c r="N148" i="2"/>
  <c r="Q148" i="2" l="1"/>
  <c r="N149" i="2"/>
  <c r="Q149" i="2" l="1"/>
  <c r="N150" i="2"/>
  <c r="Q150" i="2" l="1"/>
  <c r="N151" i="2"/>
  <c r="Q151" i="2" l="1"/>
  <c r="N152" i="2"/>
  <c r="Q152" i="2" l="1"/>
  <c r="N153" i="2"/>
  <c r="Q153" i="2" l="1"/>
  <c r="N154" i="2"/>
  <c r="Q154" i="2" l="1"/>
  <c r="N155" i="2"/>
  <c r="Q155" i="2" l="1"/>
  <c r="N156" i="2"/>
  <c r="Q156" i="2" l="1"/>
  <c r="N157" i="2"/>
  <c r="Q157" i="2" l="1"/>
  <c r="N158" i="2"/>
  <c r="Q158" i="2" l="1"/>
  <c r="N159" i="2"/>
  <c r="Q159" i="2" l="1"/>
  <c r="N160" i="2"/>
  <c r="Q160" i="2" l="1"/>
  <c r="N161" i="2"/>
  <c r="Q161" i="2" l="1"/>
  <c r="N162" i="2"/>
  <c r="Q162" i="2" l="1"/>
  <c r="N163" i="2"/>
  <c r="Q163" i="2" l="1"/>
  <c r="N164" i="2"/>
  <c r="Q164" i="2" l="1"/>
  <c r="N165" i="2"/>
  <c r="Q165" i="2" l="1"/>
  <c r="N166" i="2"/>
  <c r="Q166" i="2" l="1"/>
  <c r="N167" i="2"/>
  <c r="Q167" i="2" l="1"/>
  <c r="N168" i="2"/>
  <c r="Q168" i="2" l="1"/>
  <c r="N169" i="2"/>
  <c r="Q169" i="2" l="1"/>
  <c r="N170" i="2"/>
  <c r="Q170" i="2" l="1"/>
  <c r="N171" i="2"/>
  <c r="Q171" i="2" l="1"/>
  <c r="N172" i="2"/>
  <c r="Q172" i="2" l="1"/>
  <c r="N173" i="2"/>
  <c r="Q173" i="2" l="1"/>
  <c r="N174" i="2"/>
  <c r="Q174" i="2" l="1"/>
  <c r="N175" i="2"/>
  <c r="Q175" i="2" l="1"/>
  <c r="N176" i="2"/>
  <c r="Q176" i="2" l="1"/>
  <c r="N177" i="2"/>
  <c r="Q177" i="2" l="1"/>
  <c r="N178" i="2"/>
  <c r="Q178" i="2" l="1"/>
  <c r="N179" i="2"/>
  <c r="Q179" i="2" l="1"/>
  <c r="N180" i="2"/>
  <c r="Q180" i="2" l="1"/>
  <c r="N181" i="2"/>
  <c r="Q181" i="2" l="1"/>
  <c r="N182" i="2"/>
  <c r="Q182" i="2" l="1"/>
  <c r="N183" i="2"/>
  <c r="Q183" i="2" l="1"/>
  <c r="N184" i="2"/>
  <c r="Q184" i="2" l="1"/>
  <c r="N185" i="2"/>
  <c r="Q185" i="2" l="1"/>
  <c r="N186" i="2"/>
  <c r="Q186" i="2" l="1"/>
  <c r="N187" i="2"/>
  <c r="Q187" i="2" l="1"/>
  <c r="N188" i="2"/>
  <c r="Q188" i="2" l="1"/>
  <c r="N189" i="2"/>
  <c r="Q189" i="2" l="1"/>
  <c r="N190" i="2"/>
  <c r="Q190" i="2" l="1"/>
  <c r="N191" i="2"/>
  <c r="Q191" i="2" l="1"/>
  <c r="N192" i="2"/>
  <c r="Q192" i="2" l="1"/>
  <c r="N193" i="2"/>
  <c r="Q193" i="2" l="1"/>
  <c r="N194" i="2"/>
  <c r="Q194" i="2" l="1"/>
  <c r="N195" i="2"/>
  <c r="Q195" i="2" l="1"/>
  <c r="N196" i="2"/>
  <c r="Q196" i="2" l="1"/>
  <c r="N197" i="2"/>
  <c r="Q197" i="2" l="1"/>
  <c r="N198" i="2"/>
  <c r="Q198" i="2" l="1"/>
  <c r="N199" i="2"/>
  <c r="Q199" i="2" l="1"/>
  <c r="N200" i="2"/>
  <c r="Q200" i="2" l="1"/>
  <c r="N201" i="2"/>
  <c r="Q201" i="2" l="1"/>
  <c r="N202" i="2"/>
  <c r="Q202" i="2" l="1"/>
  <c r="N203" i="2"/>
  <c r="Q203" i="2" l="1"/>
  <c r="N204" i="2"/>
  <c r="Q204" i="2" l="1"/>
  <c r="N205" i="2"/>
  <c r="Q205" i="2" l="1"/>
  <c r="N206" i="2"/>
  <c r="Q206" i="2" l="1"/>
  <c r="N207" i="2"/>
  <c r="Q207" i="2" l="1"/>
  <c r="N208" i="2"/>
  <c r="Q208" i="2" l="1"/>
  <c r="N209" i="2"/>
  <c r="Q209" i="2" l="1"/>
  <c r="N210" i="2"/>
  <c r="Q210" i="2" l="1"/>
  <c r="N211" i="2"/>
  <c r="Q211" i="2" l="1"/>
  <c r="N212" i="2"/>
  <c r="Q212" i="2" l="1"/>
  <c r="N213" i="2"/>
  <c r="Q213" i="2" l="1"/>
  <c r="N214" i="2"/>
  <c r="Q214" i="2" l="1"/>
  <c r="N215" i="2"/>
  <c r="Q215" i="2" l="1"/>
  <c r="N216" i="2"/>
  <c r="Q216" i="2" l="1"/>
  <c r="N217" i="2"/>
  <c r="Q217" i="2" l="1"/>
  <c r="N218" i="2"/>
  <c r="Q218" i="2" l="1"/>
  <c r="N219" i="2"/>
  <c r="Q219" i="2" l="1"/>
  <c r="N220" i="2"/>
  <c r="Q220" i="2" l="1"/>
  <c r="N221" i="2"/>
  <c r="Q221" i="2" l="1"/>
  <c r="N222" i="2"/>
  <c r="Q222" i="2" l="1"/>
  <c r="N223" i="2"/>
  <c r="Q223" i="2" l="1"/>
  <c r="N224" i="2"/>
  <c r="Q224" i="2" l="1"/>
  <c r="N225" i="2"/>
  <c r="Q225" i="2" l="1"/>
  <c r="N226" i="2"/>
  <c r="Q226" i="2" l="1"/>
  <c r="N227" i="2"/>
  <c r="Q227" i="2" l="1"/>
  <c r="N228" i="2"/>
  <c r="Q228" i="2" l="1"/>
  <c r="N229" i="2"/>
  <c r="Q229" i="2" l="1"/>
  <c r="N230" i="2"/>
  <c r="Q230" i="2" l="1"/>
  <c r="N231" i="2"/>
  <c r="Q231" i="2" l="1"/>
  <c r="N232" i="2"/>
  <c r="Q232" i="2" l="1"/>
  <c r="N233" i="2"/>
  <c r="Q233" i="2" l="1"/>
  <c r="N234" i="2"/>
  <c r="Q234" i="2" l="1"/>
  <c r="N235" i="2"/>
  <c r="Q235" i="2" l="1"/>
  <c r="N236" i="2"/>
  <c r="Q236" i="2" l="1"/>
  <c r="N237" i="2"/>
  <c r="Q237" i="2" l="1"/>
  <c r="N238" i="2"/>
  <c r="Q238" i="2" l="1"/>
  <c r="N239" i="2"/>
  <c r="Q239" i="2" l="1"/>
  <c r="N240" i="2"/>
  <c r="Q240" i="2" l="1"/>
  <c r="N241" i="2"/>
  <c r="Q241" i="2" l="1"/>
  <c r="N242" i="2"/>
  <c r="Q242" i="2" l="1"/>
  <c r="N243" i="2"/>
  <c r="Q243" i="2" l="1"/>
  <c r="N244" i="2"/>
  <c r="Q244" i="2" l="1"/>
  <c r="N245" i="2"/>
  <c r="Q245" i="2" l="1"/>
  <c r="N246" i="2"/>
  <c r="Q246" i="2" l="1"/>
  <c r="N247" i="2"/>
  <c r="Q247" i="2" l="1"/>
  <c r="N248" i="2"/>
  <c r="Q248" i="2" l="1"/>
  <c r="N249" i="2"/>
  <c r="Q249" i="2" l="1"/>
  <c r="N250" i="2"/>
  <c r="Q250" i="2" l="1"/>
  <c r="N251" i="2"/>
  <c r="Q251" i="2" l="1"/>
  <c r="N252" i="2"/>
  <c r="Q252" i="2" l="1"/>
  <c r="N253" i="2"/>
  <c r="Q253" i="2" l="1"/>
  <c r="N254" i="2"/>
  <c r="Q254" i="2" l="1"/>
  <c r="N255" i="2"/>
  <c r="Q255" i="2" l="1"/>
  <c r="N256" i="2"/>
  <c r="Q256" i="2" l="1"/>
  <c r="N257" i="2"/>
  <c r="Q257" i="2" l="1"/>
  <c r="N258" i="2"/>
  <c r="Q258" i="2" l="1"/>
  <c r="N259" i="2"/>
  <c r="Q259" i="2" l="1"/>
  <c r="N260" i="2"/>
  <c r="Q260" i="2" l="1"/>
  <c r="N261" i="2"/>
  <c r="Q261" i="2" l="1"/>
  <c r="N262" i="2"/>
  <c r="Q262" i="2" l="1"/>
  <c r="N263" i="2"/>
  <c r="Q263" i="2" l="1"/>
  <c r="N264" i="2"/>
  <c r="Q264" i="2" l="1"/>
  <c r="N265" i="2"/>
  <c r="Q265" i="2" l="1"/>
  <c r="N266" i="2"/>
  <c r="Q266" i="2" l="1"/>
  <c r="N267" i="2"/>
  <c r="Q267" i="2" l="1"/>
  <c r="N268" i="2"/>
  <c r="Q268" i="2" l="1"/>
  <c r="N269" i="2"/>
  <c r="Q269" i="2" l="1"/>
  <c r="N270" i="2"/>
  <c r="Q270" i="2" l="1"/>
  <c r="N271" i="2"/>
  <c r="Q271" i="2" l="1"/>
  <c r="N272" i="2"/>
  <c r="Q272" i="2" l="1"/>
  <c r="N273" i="2"/>
  <c r="Q273" i="2" l="1"/>
  <c r="N274" i="2"/>
  <c r="Q274" i="2" l="1"/>
  <c r="N275" i="2"/>
  <c r="Q275" i="2" l="1"/>
  <c r="N276" i="2"/>
  <c r="Q276" i="2" l="1"/>
  <c r="N277" i="2"/>
  <c r="Q277" i="2" l="1"/>
  <c r="N278" i="2"/>
  <c r="Q278" i="2" l="1"/>
  <c r="N279" i="2"/>
  <c r="Q279" i="2" l="1"/>
  <c r="N280" i="2"/>
  <c r="Q280" i="2" l="1"/>
  <c r="N281" i="2"/>
  <c r="Q281" i="2" l="1"/>
  <c r="N282" i="2"/>
  <c r="Q282" i="2" l="1"/>
  <c r="N283" i="2"/>
  <c r="Q283" i="2" l="1"/>
  <c r="N284" i="2"/>
  <c r="Q284" i="2" l="1"/>
  <c r="N285" i="2"/>
  <c r="Q285" i="2" l="1"/>
  <c r="N286" i="2"/>
  <c r="Q286" i="2" l="1"/>
  <c r="N287" i="2"/>
  <c r="Q287" i="2" l="1"/>
  <c r="N288" i="2"/>
  <c r="Q288" i="2" l="1"/>
  <c r="N289" i="2"/>
  <c r="Q289" i="2" l="1"/>
  <c r="N290" i="2"/>
  <c r="Q290" i="2" l="1"/>
  <c r="N291" i="2"/>
  <c r="Q291" i="2" l="1"/>
  <c r="N292" i="2"/>
  <c r="Q292" i="2" l="1"/>
  <c r="N293" i="2"/>
  <c r="Q293" i="2" l="1"/>
  <c r="N294" i="2"/>
  <c r="Q294" i="2" l="1"/>
  <c r="N295" i="2"/>
  <c r="Q295" i="2" l="1"/>
  <c r="N296" i="2"/>
  <c r="Q296" i="2" l="1"/>
  <c r="N297" i="2"/>
  <c r="Q297" i="2" l="1"/>
  <c r="N298" i="2"/>
  <c r="Q298" i="2" l="1"/>
  <c r="N299" i="2"/>
  <c r="Q299" i="2" l="1"/>
  <c r="N300" i="2"/>
  <c r="Q300" i="2" l="1"/>
  <c r="N301" i="2"/>
  <c r="Q301" i="2" l="1"/>
  <c r="N302" i="2"/>
  <c r="Q302" i="2" l="1"/>
  <c r="N303" i="2"/>
  <c r="Q303" i="2" l="1"/>
  <c r="N304" i="2"/>
  <c r="Q304" i="2" l="1"/>
  <c r="N305" i="2"/>
  <c r="Q305" i="2" l="1"/>
  <c r="N306" i="2"/>
  <c r="Q306" i="2" l="1"/>
  <c r="N307" i="2"/>
  <c r="Q307" i="2" l="1"/>
  <c r="N308" i="2"/>
  <c r="Q308" i="2" l="1"/>
  <c r="N309" i="2"/>
  <c r="Q309" i="2" l="1"/>
  <c r="N310" i="2"/>
  <c r="Q310" i="2" l="1"/>
  <c r="N311" i="2"/>
  <c r="Q311" i="2" l="1"/>
  <c r="N312" i="2"/>
  <c r="Q312" i="2" l="1"/>
  <c r="N313" i="2"/>
  <c r="Q313" i="2" l="1"/>
  <c r="N314" i="2"/>
  <c r="Q314" i="2" l="1"/>
  <c r="N315" i="2"/>
  <c r="Q315" i="2" l="1"/>
  <c r="N316" i="2"/>
  <c r="Q316" i="2" l="1"/>
  <c r="N317" i="2"/>
  <c r="Q317" i="2" l="1"/>
  <c r="N318" i="2"/>
  <c r="Q318" i="2" l="1"/>
  <c r="N319" i="2"/>
  <c r="Q319" i="2" l="1"/>
  <c r="N320" i="2"/>
  <c r="Q320" i="2" l="1"/>
  <c r="N321" i="2"/>
  <c r="Q321" i="2" l="1"/>
  <c r="N322" i="2"/>
  <c r="Q322" i="2" l="1"/>
  <c r="N323" i="2"/>
  <c r="Q323" i="2" l="1"/>
  <c r="N324" i="2"/>
  <c r="Q324" i="2" l="1"/>
  <c r="N325" i="2"/>
  <c r="Q325" i="2" l="1"/>
  <c r="N326" i="2"/>
  <c r="Q326" i="2" l="1"/>
  <c r="N327" i="2"/>
  <c r="Q327" i="2" l="1"/>
  <c r="N328" i="2"/>
  <c r="Q328" i="2" l="1"/>
  <c r="N329" i="2"/>
  <c r="Q329" i="2" l="1"/>
  <c r="N330" i="2"/>
  <c r="Q330" i="2" l="1"/>
  <c r="N331" i="2"/>
  <c r="Q331" i="2" l="1"/>
  <c r="N332" i="2"/>
  <c r="Q332" i="2" l="1"/>
  <c r="N333" i="2"/>
  <c r="Q333" i="2" l="1"/>
  <c r="N334" i="2"/>
  <c r="Q334" i="2" l="1"/>
  <c r="N335" i="2"/>
  <c r="Q335" i="2" l="1"/>
  <c r="N336" i="2"/>
  <c r="Q336" i="2" l="1"/>
  <c r="N337" i="2"/>
  <c r="Q337" i="2" l="1"/>
  <c r="N338" i="2"/>
  <c r="Q338" i="2" l="1"/>
  <c r="N339" i="2"/>
  <c r="Q339" i="2" l="1"/>
  <c r="N340" i="2"/>
  <c r="Q340" i="2" l="1"/>
  <c r="N341" i="2"/>
  <c r="Q341" i="2" l="1"/>
  <c r="N342" i="2"/>
  <c r="Q342" i="2" l="1"/>
  <c r="N343" i="2"/>
  <c r="Q343" i="2" l="1"/>
  <c r="N344" i="2"/>
  <c r="Q344" i="2" l="1"/>
  <c r="N345" i="2"/>
  <c r="Q345" i="2" l="1"/>
  <c r="N346" i="2"/>
  <c r="Q346" i="2" l="1"/>
  <c r="N347" i="2"/>
  <c r="Q347" i="2" l="1"/>
  <c r="N348" i="2"/>
  <c r="Q348" i="2" l="1"/>
  <c r="N349" i="2"/>
  <c r="Q349" i="2" l="1"/>
  <c r="N350" i="2"/>
  <c r="Q350" i="2" l="1"/>
  <c r="N351" i="2"/>
  <c r="Q351" i="2" l="1"/>
  <c r="N352" i="2"/>
  <c r="Q352" i="2" l="1"/>
  <c r="N353" i="2"/>
  <c r="Q353" i="2" l="1"/>
  <c r="N354" i="2"/>
  <c r="Q354" i="2" l="1"/>
  <c r="N355" i="2"/>
  <c r="Q355" i="2" l="1"/>
  <c r="N356" i="2"/>
  <c r="Q356" i="2" l="1"/>
  <c r="N357" i="2"/>
  <c r="Q357" i="2" l="1"/>
  <c r="N358" i="2"/>
  <c r="Q358" i="2" l="1"/>
  <c r="N359" i="2"/>
  <c r="Q359" i="2" l="1"/>
  <c r="N360" i="2"/>
  <c r="Q360" i="2" l="1"/>
  <c r="N361" i="2"/>
  <c r="Q361" i="2" l="1"/>
  <c r="N362" i="2"/>
  <c r="Q362" i="2" l="1"/>
  <c r="N363" i="2"/>
  <c r="Q363" i="2" l="1"/>
  <c r="N364" i="2"/>
  <c r="Q364" i="2" l="1"/>
  <c r="N365" i="2"/>
  <c r="Q365" i="2" l="1"/>
  <c r="N366" i="2"/>
  <c r="Q366" i="2" l="1"/>
  <c r="N367" i="2"/>
  <c r="Q367" i="2" l="1"/>
  <c r="N368" i="2"/>
  <c r="Q368" i="2" l="1"/>
  <c r="N369" i="2"/>
  <c r="Q369" i="2" l="1"/>
  <c r="N370" i="2"/>
  <c r="Q370" i="2" l="1"/>
  <c r="N371" i="2"/>
  <c r="Q371" i="2" l="1"/>
  <c r="N372" i="2"/>
  <c r="Q372" i="2" l="1"/>
  <c r="N373" i="2"/>
  <c r="Q373" i="2" l="1"/>
  <c r="N374" i="2"/>
  <c r="Q374" i="2" l="1"/>
  <c r="N375" i="2"/>
  <c r="Q375" i="2" l="1"/>
  <c r="N376" i="2"/>
  <c r="Q376" i="2" l="1"/>
  <c r="N377" i="2"/>
  <c r="Q377" i="2" l="1"/>
  <c r="N378" i="2"/>
  <c r="Q378" i="2" l="1"/>
  <c r="N379" i="2"/>
  <c r="Q379" i="2" l="1"/>
  <c r="N380" i="2"/>
  <c r="Q380" i="2" l="1"/>
  <c r="N381" i="2"/>
  <c r="Q381" i="2" l="1"/>
  <c r="N382" i="2"/>
  <c r="Q382" i="2" l="1"/>
  <c r="N383" i="2"/>
  <c r="Q383" i="2" l="1"/>
  <c r="N384" i="2"/>
  <c r="Q384" i="2" l="1"/>
  <c r="N385" i="2"/>
  <c r="Q385" i="2" l="1"/>
  <c r="N386" i="2"/>
  <c r="Q386" i="2" l="1"/>
  <c r="N387" i="2"/>
  <c r="Q387" i="2" l="1"/>
  <c r="N388" i="2"/>
  <c r="Q388" i="2" l="1"/>
  <c r="N389" i="2"/>
  <c r="Q389" i="2" l="1"/>
  <c r="N390" i="2"/>
  <c r="Q390" i="2" l="1"/>
  <c r="N391" i="2"/>
  <c r="Q391" i="2" l="1"/>
  <c r="N392" i="2"/>
  <c r="Q392" i="2" l="1"/>
  <c r="N393" i="2"/>
  <c r="Q393" i="2" l="1"/>
  <c r="N394" i="2"/>
  <c r="Q394" i="2" l="1"/>
  <c r="N395" i="2"/>
  <c r="Q395" i="2" l="1"/>
  <c r="N396" i="2"/>
  <c r="Q396" i="2" l="1"/>
  <c r="N397" i="2"/>
  <c r="Q397" i="2" l="1"/>
  <c r="N398" i="2"/>
  <c r="Q398" i="2" l="1"/>
  <c r="N399" i="2"/>
  <c r="Q399" i="2" l="1"/>
  <c r="N400" i="2"/>
  <c r="Q400" i="2" l="1"/>
  <c r="N401" i="2"/>
  <c r="Q401" i="2" l="1"/>
  <c r="N402" i="2"/>
  <c r="Q402" i="2" l="1"/>
  <c r="N403" i="2"/>
  <c r="Q403" i="2" l="1"/>
  <c r="N404" i="2"/>
  <c r="Q404" i="2" l="1"/>
  <c r="N405" i="2"/>
  <c r="Q405" i="2" l="1"/>
  <c r="N406" i="2"/>
  <c r="Q406" i="2" l="1"/>
  <c r="N407" i="2"/>
  <c r="Q407" i="2" l="1"/>
  <c r="N408" i="2"/>
  <c r="Q408" i="2" l="1"/>
  <c r="N409" i="2"/>
  <c r="Q409" i="2" l="1"/>
  <c r="N410" i="2"/>
  <c r="Q410" i="2" l="1"/>
  <c r="N411" i="2"/>
  <c r="Q411" i="2" l="1"/>
  <c r="N412" i="2"/>
  <c r="Q412" i="2" l="1"/>
  <c r="N413" i="2"/>
  <c r="Q413" i="2" l="1"/>
  <c r="N414" i="2"/>
  <c r="Q414" i="2" l="1"/>
  <c r="N415" i="2"/>
  <c r="Q415" i="2" l="1"/>
  <c r="N416" i="2"/>
  <c r="Q416" i="2" l="1"/>
  <c r="N417" i="2"/>
  <c r="Q417" i="2" l="1"/>
  <c r="N418" i="2"/>
  <c r="Q418" i="2" l="1"/>
  <c r="N419" i="2"/>
  <c r="Q419" i="2" l="1"/>
  <c r="N420" i="2"/>
  <c r="Q420" i="2" l="1"/>
  <c r="N421" i="2"/>
  <c r="Q421" i="2" l="1"/>
  <c r="N422" i="2"/>
  <c r="Q422" i="2" l="1"/>
  <c r="N423" i="2"/>
  <c r="Q423" i="2" l="1"/>
  <c r="N424" i="2"/>
  <c r="Q424" i="2" l="1"/>
  <c r="N425" i="2"/>
  <c r="Q425" i="2" l="1"/>
  <c r="N426" i="2"/>
  <c r="Q426" i="2" l="1"/>
  <c r="N427" i="2"/>
  <c r="Q427" i="2" l="1"/>
  <c r="N428" i="2"/>
  <c r="Q428" i="2" l="1"/>
  <c r="N429" i="2"/>
  <c r="Q429" i="2" l="1"/>
  <c r="N430" i="2"/>
  <c r="Q430" i="2" l="1"/>
  <c r="N431" i="2"/>
  <c r="Q431" i="2" l="1"/>
  <c r="N432" i="2"/>
  <c r="Q432" i="2" l="1"/>
  <c r="N433" i="2"/>
  <c r="Q433" i="2" l="1"/>
  <c r="N434" i="2"/>
  <c r="Q434" i="2" l="1"/>
  <c r="N435" i="2"/>
  <c r="Q435" i="2" l="1"/>
  <c r="N436" i="2"/>
  <c r="Q436" i="2" l="1"/>
  <c r="N437" i="2"/>
  <c r="Q437" i="2" l="1"/>
  <c r="N438" i="2"/>
  <c r="Q438" i="2" l="1"/>
  <c r="N439" i="2"/>
  <c r="Q439" i="2" l="1"/>
  <c r="N440" i="2"/>
  <c r="Q440" i="2" l="1"/>
  <c r="N441" i="2"/>
  <c r="Q441" i="2" l="1"/>
  <c r="N442" i="2"/>
  <c r="Q442" i="2" l="1"/>
  <c r="N443" i="2"/>
  <c r="Q443" i="2" l="1"/>
  <c r="N444" i="2"/>
  <c r="Q444" i="2" l="1"/>
  <c r="N445" i="2"/>
  <c r="Q445" i="2" l="1"/>
  <c r="N446" i="2"/>
  <c r="Q446" i="2" l="1"/>
  <c r="N447" i="2"/>
  <c r="Q447" i="2" l="1"/>
  <c r="N448" i="2"/>
  <c r="Q448" i="2" l="1"/>
  <c r="N449" i="2"/>
  <c r="Q449" i="2" l="1"/>
  <c r="N450" i="2"/>
  <c r="Q450" i="2" l="1"/>
  <c r="N451" i="2"/>
  <c r="Q451" i="2" l="1"/>
  <c r="N452" i="2"/>
  <c r="Q452" i="2" l="1"/>
  <c r="N453" i="2"/>
  <c r="Q453" i="2" l="1"/>
  <c r="N454" i="2"/>
  <c r="Q454" i="2" l="1"/>
  <c r="N455" i="2"/>
  <c r="Q455" i="2" l="1"/>
  <c r="N456" i="2"/>
  <c r="Q456" i="2" l="1"/>
  <c r="N457" i="2"/>
  <c r="Q457" i="2" l="1"/>
  <c r="N458" i="2"/>
  <c r="Q458" i="2" l="1"/>
  <c r="N459" i="2"/>
  <c r="Q459" i="2" l="1"/>
  <c r="N460" i="2"/>
  <c r="Q460" i="2" l="1"/>
  <c r="N461" i="2"/>
  <c r="Q461" i="2" l="1"/>
  <c r="N462" i="2"/>
  <c r="Q462" i="2" l="1"/>
  <c r="N463" i="2"/>
  <c r="Q463" i="2" l="1"/>
  <c r="N464" i="2"/>
  <c r="Q464" i="2" l="1"/>
  <c r="N465" i="2"/>
  <c r="Q465" i="2" l="1"/>
  <c r="N466" i="2"/>
  <c r="Q466" i="2" l="1"/>
  <c r="N467" i="2"/>
  <c r="Q467" i="2" l="1"/>
  <c r="N468" i="2"/>
  <c r="Q468" i="2" l="1"/>
  <c r="N469" i="2"/>
  <c r="Q469" i="2" l="1"/>
  <c r="N470" i="2"/>
  <c r="Q470" i="2" l="1"/>
  <c r="N471" i="2"/>
  <c r="Q471" i="2" l="1"/>
  <c r="N472" i="2"/>
  <c r="Q472" i="2" l="1"/>
  <c r="N473" i="2"/>
  <c r="Q473" i="2" l="1"/>
  <c r="N474" i="2"/>
  <c r="Q474" i="2" l="1"/>
  <c r="N475" i="2"/>
  <c r="Q475" i="2" l="1"/>
  <c r="N476" i="2"/>
  <c r="Q476" i="2" l="1"/>
  <c r="N477" i="2"/>
  <c r="Q477" i="2" l="1"/>
  <c r="N478" i="2"/>
  <c r="Q478" i="2" l="1"/>
  <c r="N479" i="2"/>
  <c r="Q479" i="2" l="1"/>
  <c r="N480" i="2"/>
  <c r="Q480" i="2" l="1"/>
  <c r="N481" i="2"/>
  <c r="Q481" i="2" l="1"/>
  <c r="N482" i="2"/>
  <c r="Q482" i="2" l="1"/>
  <c r="N483" i="2"/>
  <c r="Q483" i="2" l="1"/>
  <c r="N484" i="2"/>
  <c r="Q484" i="2" l="1"/>
  <c r="N485" i="2"/>
  <c r="Q485" i="2" l="1"/>
  <c r="N486" i="2"/>
  <c r="Q486" i="2" l="1"/>
  <c r="N487" i="2"/>
  <c r="Q487" i="2" l="1"/>
  <c r="N488" i="2"/>
  <c r="Q488" i="2" l="1"/>
  <c r="N489" i="2"/>
  <c r="Q489" i="2" l="1"/>
  <c r="N490" i="2"/>
  <c r="Q490" i="2" l="1"/>
  <c r="N491" i="2"/>
  <c r="Q491" i="2" l="1"/>
  <c r="N492" i="2"/>
  <c r="Q492" i="2" l="1"/>
  <c r="N493" i="2"/>
  <c r="Q493" i="2" l="1"/>
  <c r="N494" i="2"/>
  <c r="Q494" i="2" l="1"/>
  <c r="N495" i="2"/>
  <c r="Q495" i="2" l="1"/>
  <c r="N496" i="2"/>
  <c r="Q496" i="2" l="1"/>
  <c r="N497" i="2"/>
  <c r="Q497" i="2" l="1"/>
  <c r="N498" i="2"/>
  <c r="Q498" i="2" l="1"/>
  <c r="N499" i="2"/>
  <c r="Q499" i="2" l="1"/>
  <c r="N500" i="2"/>
  <c r="Q500" i="2" l="1"/>
  <c r="N501" i="2"/>
  <c r="Q501" i="2" l="1"/>
  <c r="N502" i="2"/>
  <c r="Q502" i="2" l="1"/>
  <c r="N503" i="2"/>
  <c r="Q503" i="2" l="1"/>
  <c r="N504" i="2"/>
  <c r="Q504" i="2" l="1"/>
  <c r="N505" i="2"/>
  <c r="Q505" i="2" l="1"/>
  <c r="N506" i="2"/>
  <c r="Q506" i="2" l="1"/>
  <c r="N507" i="2"/>
  <c r="Q507" i="2" l="1"/>
  <c r="N508" i="2"/>
  <c r="Q508" i="2" l="1"/>
  <c r="N509" i="2"/>
  <c r="Q509" i="2" l="1"/>
  <c r="N510" i="2"/>
  <c r="Q510" i="2" l="1"/>
  <c r="N511" i="2"/>
  <c r="Q511" i="2" l="1"/>
  <c r="N512" i="2"/>
  <c r="Q512" i="2" l="1"/>
  <c r="N513" i="2"/>
  <c r="Q513" i="2" l="1"/>
  <c r="N514" i="2"/>
  <c r="Q514" i="2" l="1"/>
  <c r="N515" i="2"/>
  <c r="Q515" i="2" l="1"/>
  <c r="N516" i="2"/>
  <c r="Q516" i="2" l="1"/>
  <c r="N517" i="2"/>
  <c r="Q517" i="2" l="1"/>
  <c r="N518" i="2"/>
  <c r="Q518" i="2" l="1"/>
  <c r="N519" i="2"/>
  <c r="Q519" i="2" l="1"/>
  <c r="N520" i="2"/>
  <c r="Q520" i="2" l="1"/>
  <c r="N521" i="2"/>
  <c r="Q521" i="2" l="1"/>
  <c r="N522" i="2"/>
  <c r="Q522" i="2" l="1"/>
  <c r="N523" i="2"/>
  <c r="Q523" i="2" l="1"/>
  <c r="N524" i="2"/>
  <c r="Q524" i="2" l="1"/>
  <c r="N525" i="2"/>
  <c r="Q525" i="2" l="1"/>
  <c r="N526" i="2"/>
  <c r="Q526" i="2" l="1"/>
  <c r="N527" i="2"/>
  <c r="Q527" i="2" l="1"/>
  <c r="N528" i="2"/>
  <c r="Q528" i="2" l="1"/>
  <c r="N529" i="2"/>
  <c r="Q529" i="2" l="1"/>
  <c r="N530" i="2"/>
  <c r="Q530" i="2" l="1"/>
  <c r="N531" i="2"/>
  <c r="Q531" i="2" l="1"/>
  <c r="N532" i="2"/>
  <c r="Q532" i="2" l="1"/>
  <c r="N533" i="2"/>
  <c r="Q533" i="2" l="1"/>
  <c r="N534" i="2"/>
  <c r="Q534" i="2" l="1"/>
  <c r="N535" i="2"/>
  <c r="Q535" i="2" l="1"/>
  <c r="N536" i="2"/>
  <c r="Q536" i="2" l="1"/>
  <c r="N537" i="2"/>
  <c r="Q537" i="2" l="1"/>
  <c r="N538" i="2"/>
  <c r="Q538" i="2" l="1"/>
  <c r="N539" i="2"/>
  <c r="Q539" i="2" l="1"/>
  <c r="N540" i="2"/>
  <c r="Q540" i="2" l="1"/>
  <c r="N541" i="2"/>
  <c r="Q541" i="2" l="1"/>
  <c r="N542" i="2"/>
  <c r="Q542" i="2" l="1"/>
  <c r="N543" i="2"/>
  <c r="Q543" i="2" l="1"/>
  <c r="N544" i="2"/>
  <c r="Q544" i="2" l="1"/>
  <c r="N545" i="2"/>
  <c r="Q545" i="2" l="1"/>
  <c r="N546" i="2"/>
  <c r="Q546" i="2" l="1"/>
  <c r="N547" i="2"/>
  <c r="Q547" i="2" l="1"/>
  <c r="N548" i="2"/>
  <c r="Q548" i="2" l="1"/>
  <c r="N549" i="2"/>
  <c r="Q549" i="2" l="1"/>
  <c r="N550" i="2"/>
  <c r="Q550" i="2" l="1"/>
  <c r="N551" i="2"/>
  <c r="Q551" i="2" l="1"/>
  <c r="N552" i="2"/>
  <c r="Q552" i="2" l="1"/>
  <c r="N553" i="2"/>
  <c r="Q553" i="2" l="1"/>
  <c r="N554" i="2"/>
  <c r="Q554" i="2" l="1"/>
  <c r="N555" i="2"/>
  <c r="Q555" i="2" l="1"/>
  <c r="N556" i="2"/>
  <c r="Q556" i="2" l="1"/>
  <c r="N557" i="2"/>
  <c r="Q557" i="2" l="1"/>
  <c r="N558" i="2"/>
  <c r="Q558" i="2" l="1"/>
  <c r="N559" i="2"/>
  <c r="Q559" i="2" l="1"/>
  <c r="N560" i="2"/>
  <c r="Q560" i="2" l="1"/>
  <c r="N561" i="2"/>
  <c r="Q561" i="2" l="1"/>
  <c r="N562" i="2"/>
  <c r="Q562" i="2" l="1"/>
  <c r="N563" i="2"/>
  <c r="Q563" i="2" l="1"/>
  <c r="N564" i="2"/>
  <c r="Q564" i="2" l="1"/>
  <c r="N565" i="2"/>
  <c r="Q565" i="2" l="1"/>
  <c r="N566" i="2"/>
  <c r="Q566" i="2" l="1"/>
  <c r="N567" i="2"/>
  <c r="Q567" i="2" l="1"/>
  <c r="N568" i="2"/>
  <c r="Q568" i="2" l="1"/>
  <c r="N569" i="2"/>
  <c r="Q569" i="2" l="1"/>
  <c r="N570" i="2"/>
  <c r="Q570" i="2" l="1"/>
  <c r="N571" i="2"/>
  <c r="Q571" i="2" l="1"/>
  <c r="N572" i="2"/>
  <c r="Q572" i="2" l="1"/>
  <c r="N573" i="2"/>
  <c r="Q573" i="2" l="1"/>
  <c r="N574" i="2"/>
  <c r="Q574" i="2" l="1"/>
  <c r="N575" i="2"/>
  <c r="Q575" i="2" l="1"/>
  <c r="N576" i="2"/>
  <c r="Q576" i="2" l="1"/>
  <c r="N577" i="2"/>
  <c r="Q577" i="2" l="1"/>
  <c r="N578" i="2"/>
  <c r="Q578" i="2" l="1"/>
  <c r="N579" i="2"/>
  <c r="Q579" i="2" l="1"/>
  <c r="N580" i="2"/>
  <c r="Q580" i="2" l="1"/>
  <c r="N581" i="2"/>
  <c r="Q581" i="2" l="1"/>
  <c r="N582" i="2"/>
  <c r="Q582" i="2" l="1"/>
  <c r="N583" i="2"/>
  <c r="Q583" i="2" l="1"/>
  <c r="N584" i="2"/>
  <c r="Q584" i="2" l="1"/>
  <c r="N585" i="2"/>
  <c r="Q585" i="2" l="1"/>
  <c r="N586" i="2"/>
  <c r="Q586" i="2" l="1"/>
  <c r="N587" i="2"/>
  <c r="Q587" i="2" l="1"/>
  <c r="N588" i="2"/>
  <c r="Q588" i="2" l="1"/>
  <c r="N589" i="2"/>
  <c r="Q589" i="2" l="1"/>
  <c r="N590" i="2"/>
  <c r="Q590" i="2" l="1"/>
  <c r="N591" i="2"/>
  <c r="Q591" i="2" l="1"/>
  <c r="N592" i="2"/>
  <c r="Q592" i="2" l="1"/>
  <c r="N593" i="2"/>
  <c r="Q593" i="2" l="1"/>
  <c r="N594" i="2"/>
  <c r="Q594" i="2" l="1"/>
  <c r="N595" i="2"/>
  <c r="Q595" i="2" l="1"/>
  <c r="N596" i="2"/>
  <c r="Q596" i="2" l="1"/>
  <c r="N597" i="2"/>
  <c r="Q597" i="2" l="1"/>
  <c r="N598" i="2"/>
  <c r="Q598" i="2" l="1"/>
  <c r="N599" i="2"/>
  <c r="Q599" i="2" l="1"/>
  <c r="N600" i="2"/>
  <c r="Q600" i="2" l="1"/>
  <c r="N601" i="2"/>
  <c r="Q601" i="2" l="1"/>
  <c r="N602" i="2"/>
  <c r="Q602" i="2" l="1"/>
  <c r="N603" i="2"/>
  <c r="Q603" i="2" l="1"/>
  <c r="N604" i="2"/>
  <c r="Q604" i="2" l="1"/>
  <c r="N605" i="2"/>
  <c r="Q605" i="2" l="1"/>
  <c r="N606" i="2"/>
  <c r="Q606" i="2" l="1"/>
  <c r="N607" i="2"/>
  <c r="Q607" i="2" l="1"/>
  <c r="N608" i="2"/>
  <c r="Q608" i="2" l="1"/>
  <c r="N609" i="2"/>
  <c r="Q609" i="2" l="1"/>
  <c r="N610" i="2"/>
  <c r="Q610" i="2" l="1"/>
  <c r="N611" i="2"/>
  <c r="Q611" i="2" l="1"/>
  <c r="N612" i="2"/>
  <c r="Q612" i="2" l="1"/>
  <c r="N613" i="2"/>
  <c r="Q613" i="2" l="1"/>
  <c r="N614" i="2"/>
  <c r="Q614" i="2" l="1"/>
  <c r="N615" i="2"/>
  <c r="Q615" i="2" l="1"/>
  <c r="N616" i="2"/>
  <c r="Q616" i="2" l="1"/>
  <c r="N617" i="2"/>
  <c r="Q617" i="2" l="1"/>
  <c r="N618" i="2"/>
  <c r="Q618" i="2" l="1"/>
  <c r="N619" i="2"/>
  <c r="Q619" i="2" l="1"/>
  <c r="N620" i="2"/>
  <c r="Q620" i="2" l="1"/>
  <c r="N621" i="2"/>
  <c r="Q621" i="2" l="1"/>
  <c r="N622" i="2"/>
  <c r="Q622" i="2" l="1"/>
  <c r="N623" i="2"/>
  <c r="Q623" i="2" l="1"/>
  <c r="N624" i="2"/>
  <c r="Q624" i="2" l="1"/>
  <c r="N625" i="2"/>
  <c r="Q625" i="2" l="1"/>
  <c r="N626" i="2"/>
  <c r="Q626" i="2" l="1"/>
  <c r="N627" i="2"/>
  <c r="Q627" i="2" l="1"/>
  <c r="N628" i="2"/>
  <c r="Q628" i="2" l="1"/>
  <c r="N629" i="2"/>
  <c r="Q629" i="2" l="1"/>
  <c r="N630" i="2"/>
  <c r="Q630" i="2" l="1"/>
  <c r="N631" i="2"/>
  <c r="Q631" i="2" l="1"/>
  <c r="N632" i="2"/>
  <c r="Q632" i="2" l="1"/>
  <c r="N633" i="2"/>
  <c r="Q633" i="2" l="1"/>
  <c r="N634" i="2"/>
  <c r="Q634" i="2" l="1"/>
  <c r="N635" i="2"/>
  <c r="Q635" i="2" l="1"/>
  <c r="N636" i="2"/>
  <c r="Q636" i="2" l="1"/>
  <c r="N637" i="2"/>
  <c r="Q637" i="2" l="1"/>
  <c r="N638" i="2"/>
  <c r="Q638" i="2" l="1"/>
  <c r="N639" i="2"/>
  <c r="Q639" i="2" l="1"/>
  <c r="N640" i="2"/>
  <c r="Q640" i="2" l="1"/>
  <c r="N641" i="2"/>
  <c r="Q641" i="2" l="1"/>
  <c r="N642" i="2"/>
  <c r="Q642" i="2" l="1"/>
  <c r="N643" i="2"/>
  <c r="Q643" i="2" l="1"/>
  <c r="N644" i="2"/>
  <c r="Q644" i="2" l="1"/>
  <c r="N645" i="2"/>
  <c r="Q645" i="2" l="1"/>
  <c r="N646" i="2"/>
  <c r="Q646" i="2" l="1"/>
  <c r="N647" i="2"/>
  <c r="Q647" i="2" l="1"/>
  <c r="N648" i="2"/>
  <c r="Q648" i="2" l="1"/>
  <c r="N649" i="2"/>
  <c r="Q649" i="2" l="1"/>
  <c r="N650" i="2"/>
  <c r="Q650" i="2" l="1"/>
  <c r="N651" i="2"/>
  <c r="Q651" i="2" l="1"/>
  <c r="N652" i="2"/>
  <c r="Q652" i="2" l="1"/>
  <c r="N653" i="2"/>
  <c r="Q653" i="2" l="1"/>
  <c r="N654" i="2"/>
  <c r="Q654" i="2" l="1"/>
  <c r="N655" i="2"/>
  <c r="Q655" i="2" l="1"/>
  <c r="N656" i="2"/>
  <c r="Q656" i="2" l="1"/>
  <c r="N657" i="2"/>
  <c r="Q657" i="2" l="1"/>
  <c r="N658" i="2"/>
  <c r="Q658" i="2" l="1"/>
  <c r="N659" i="2"/>
  <c r="Q659" i="2" l="1"/>
  <c r="N660" i="2"/>
  <c r="Q660" i="2" l="1"/>
  <c r="N661" i="2"/>
  <c r="Q661" i="2" l="1"/>
  <c r="N662" i="2"/>
  <c r="Q662" i="2" l="1"/>
  <c r="N663" i="2"/>
  <c r="Q663" i="2" l="1"/>
  <c r="N664" i="2"/>
  <c r="Q664" i="2" l="1"/>
  <c r="N665" i="2"/>
  <c r="Q665" i="2" l="1"/>
  <c r="N666" i="2"/>
  <c r="Q666" i="2" l="1"/>
  <c r="N667" i="2"/>
  <c r="Q667" i="2" l="1"/>
  <c r="N668" i="2"/>
  <c r="Q668" i="2" l="1"/>
  <c r="N669" i="2"/>
  <c r="Q669" i="2" l="1"/>
  <c r="N670" i="2"/>
  <c r="Q670" i="2" l="1"/>
  <c r="N671" i="2"/>
  <c r="Q671" i="2" l="1"/>
  <c r="N672" i="2"/>
  <c r="Q672" i="2" l="1"/>
  <c r="N673" i="2"/>
  <c r="Q673" i="2" l="1"/>
  <c r="N674" i="2"/>
  <c r="Q674" i="2" l="1"/>
  <c r="N675" i="2"/>
  <c r="Q675" i="2" l="1"/>
  <c r="N676" i="2"/>
  <c r="Q676" i="2" l="1"/>
  <c r="N677" i="2"/>
  <c r="Q677" i="2" l="1"/>
  <c r="N678" i="2"/>
  <c r="Q678" i="2" l="1"/>
  <c r="N679" i="2"/>
  <c r="Q679" i="2" l="1"/>
  <c r="N680" i="2"/>
  <c r="Q680" i="2" l="1"/>
  <c r="N681" i="2"/>
  <c r="Q681" i="2" l="1"/>
  <c r="N682" i="2"/>
  <c r="Q682" i="2" l="1"/>
  <c r="N683" i="2"/>
  <c r="Q683" i="2" l="1"/>
  <c r="N684" i="2"/>
  <c r="Q684" i="2" l="1"/>
  <c r="N685" i="2"/>
  <c r="Q685" i="2" l="1"/>
  <c r="N686" i="2"/>
  <c r="Q686" i="2" l="1"/>
  <c r="N687" i="2"/>
  <c r="Q687" i="2" l="1"/>
  <c r="N688" i="2"/>
  <c r="Q688" i="2" l="1"/>
  <c r="N689" i="2"/>
  <c r="Q689" i="2" l="1"/>
  <c r="N690" i="2"/>
  <c r="Q690" i="2" l="1"/>
  <c r="N691" i="2"/>
  <c r="Q691" i="2" l="1"/>
  <c r="N692" i="2"/>
  <c r="Q692" i="2" l="1"/>
  <c r="N693" i="2"/>
  <c r="Q693" i="2" l="1"/>
  <c r="N694" i="2"/>
  <c r="Q694" i="2" l="1"/>
  <c r="N695" i="2"/>
  <c r="Q695" i="2" l="1"/>
  <c r="N696" i="2"/>
  <c r="Q696" i="2" l="1"/>
  <c r="N697" i="2"/>
  <c r="Q697" i="2" l="1"/>
  <c r="N698" i="2"/>
  <c r="Q698" i="2" l="1"/>
  <c r="N699" i="2"/>
  <c r="Q699" i="2" l="1"/>
  <c r="N700" i="2"/>
  <c r="Q700" i="2" l="1"/>
  <c r="N701" i="2"/>
  <c r="Q701" i="2" l="1"/>
  <c r="N702" i="2"/>
  <c r="Q702" i="2" l="1"/>
  <c r="N703" i="2"/>
  <c r="Q703" i="2" l="1"/>
  <c r="N704" i="2"/>
  <c r="Q704" i="2" l="1"/>
  <c r="N705" i="2"/>
  <c r="Q705" i="2" l="1"/>
  <c r="N706" i="2"/>
  <c r="Q706" i="2" l="1"/>
  <c r="N707" i="2"/>
  <c r="Q707" i="2" l="1"/>
  <c r="N708" i="2"/>
  <c r="Q708" i="2" l="1"/>
  <c r="N709" i="2"/>
  <c r="Q709" i="2" l="1"/>
  <c r="N710" i="2"/>
  <c r="Q710" i="2" l="1"/>
  <c r="N711" i="2"/>
  <c r="Q711" i="2" l="1"/>
  <c r="N712" i="2"/>
  <c r="Q712" i="2" l="1"/>
  <c r="N713" i="2"/>
  <c r="Q713" i="2" l="1"/>
  <c r="N714" i="2"/>
  <c r="Q714" i="2" l="1"/>
  <c r="N715" i="2"/>
  <c r="Q715" i="2" l="1"/>
  <c r="N716" i="2"/>
  <c r="Q716" i="2" l="1"/>
  <c r="N717" i="2"/>
  <c r="Q717" i="2" l="1"/>
  <c r="N718" i="2"/>
  <c r="Q718" i="2" l="1"/>
  <c r="N719" i="2"/>
  <c r="Q719" i="2" l="1"/>
  <c r="N720" i="2"/>
  <c r="Q720" i="2" l="1"/>
  <c r="N721" i="2"/>
  <c r="Q721" i="2" l="1"/>
  <c r="N722" i="2"/>
  <c r="Q722" i="2" l="1"/>
  <c r="N723" i="2"/>
  <c r="Q723" i="2" l="1"/>
  <c r="N724" i="2"/>
  <c r="Q724" i="2" l="1"/>
  <c r="N725" i="2"/>
  <c r="Q725" i="2" l="1"/>
  <c r="N726" i="2"/>
  <c r="Q726" i="2" l="1"/>
  <c r="N727" i="2"/>
  <c r="Q727" i="2" l="1"/>
  <c r="N728" i="2"/>
  <c r="Q728" i="2" l="1"/>
  <c r="N729" i="2"/>
  <c r="Q729" i="2" l="1"/>
  <c r="N730" i="2"/>
  <c r="Q730" i="2" l="1"/>
  <c r="N731" i="2"/>
  <c r="Q731" i="2" l="1"/>
  <c r="N732" i="2"/>
  <c r="Q732" i="2" l="1"/>
  <c r="N733" i="2"/>
  <c r="Q733" i="2" l="1"/>
  <c r="N734" i="2"/>
  <c r="Q734" i="2" l="1"/>
  <c r="N735" i="2"/>
  <c r="Q735" i="2" l="1"/>
  <c r="N736" i="2"/>
  <c r="Q736" i="2" l="1"/>
  <c r="N737" i="2"/>
  <c r="Q737" i="2" l="1"/>
  <c r="N738" i="2"/>
  <c r="Q738" i="2" l="1"/>
  <c r="N739" i="2"/>
  <c r="Q739" i="2" l="1"/>
  <c r="N740" i="2"/>
  <c r="Q740" i="2" l="1"/>
  <c r="N741" i="2"/>
  <c r="Q741" i="2" l="1"/>
  <c r="N742" i="2"/>
  <c r="Q742" i="2" l="1"/>
  <c r="N743" i="2"/>
  <c r="Q743" i="2" l="1"/>
  <c r="N744" i="2"/>
  <c r="Q744" i="2" l="1"/>
  <c r="N745" i="2"/>
  <c r="Q745" i="2" l="1"/>
  <c r="N746" i="2"/>
  <c r="Q746" i="2" l="1"/>
  <c r="N747" i="2"/>
  <c r="Q747" i="2" l="1"/>
  <c r="N748" i="2"/>
  <c r="Q748" i="2" l="1"/>
  <c r="N749" i="2"/>
  <c r="Q749" i="2" l="1"/>
  <c r="N750" i="2"/>
  <c r="Q750" i="2" l="1"/>
  <c r="N751" i="2"/>
  <c r="Q751" i="2" l="1"/>
  <c r="N752" i="2"/>
  <c r="Q752" i="2" l="1"/>
  <c r="N753" i="2"/>
  <c r="Q753" i="2" l="1"/>
  <c r="N754" i="2"/>
  <c r="Q754" i="2" l="1"/>
  <c r="N755" i="2"/>
  <c r="Q755" i="2" l="1"/>
  <c r="N756" i="2"/>
  <c r="Q756" i="2" l="1"/>
  <c r="N757" i="2"/>
  <c r="Q757" i="2" l="1"/>
  <c r="N758" i="2"/>
  <c r="Q758" i="2" l="1"/>
  <c r="N759" i="2"/>
  <c r="Q759" i="2" l="1"/>
  <c r="N760" i="2"/>
  <c r="Q760" i="2" l="1"/>
  <c r="N761" i="2"/>
  <c r="Q761" i="2" l="1"/>
  <c r="N762" i="2"/>
  <c r="Q762" i="2" l="1"/>
  <c r="N763" i="2"/>
  <c r="Q763" i="2" l="1"/>
  <c r="N764" i="2"/>
  <c r="Q764" i="2" l="1"/>
  <c r="N765" i="2"/>
  <c r="Q765" i="2" l="1"/>
  <c r="N766" i="2"/>
  <c r="Q766" i="2" l="1"/>
  <c r="N767" i="2"/>
  <c r="Q767" i="2" l="1"/>
  <c r="N768" i="2"/>
  <c r="Q768" i="2" l="1"/>
  <c r="N769" i="2"/>
  <c r="Q769" i="2" l="1"/>
  <c r="N770" i="2"/>
  <c r="Q770" i="2" l="1"/>
  <c r="N771" i="2"/>
  <c r="Q771" i="2" l="1"/>
  <c r="N772" i="2"/>
  <c r="Q772" i="2" l="1"/>
  <c r="N773" i="2"/>
  <c r="Q773" i="2" l="1"/>
  <c r="N774" i="2"/>
  <c r="Q774" i="2" l="1"/>
  <c r="N775" i="2"/>
  <c r="Q775" i="2" l="1"/>
  <c r="N776" i="2"/>
  <c r="Q776" i="2" l="1"/>
  <c r="N777" i="2"/>
  <c r="Q777" i="2" l="1"/>
  <c r="N778" i="2"/>
  <c r="Q778" i="2" l="1"/>
  <c r="N779" i="2"/>
  <c r="Q779" i="2" l="1"/>
  <c r="N780" i="2"/>
  <c r="Q780" i="2" l="1"/>
  <c r="N781" i="2"/>
  <c r="Q781" i="2" l="1"/>
  <c r="N782" i="2"/>
  <c r="Q782" i="2" l="1"/>
  <c r="N783" i="2"/>
  <c r="Q783" i="2" l="1"/>
  <c r="N784" i="2"/>
  <c r="Q784" i="2" l="1"/>
  <c r="N785" i="2"/>
  <c r="Q785" i="2" l="1"/>
  <c r="N786" i="2"/>
  <c r="Q786" i="2" l="1"/>
  <c r="N787" i="2"/>
  <c r="Q787" i="2" l="1"/>
  <c r="N788" i="2"/>
  <c r="Q788" i="2" l="1"/>
  <c r="N789" i="2"/>
  <c r="Q789" i="2" l="1"/>
  <c r="N790" i="2"/>
  <c r="Q790" i="2" l="1"/>
  <c r="N791" i="2"/>
  <c r="Q791" i="2" l="1"/>
  <c r="N792" i="2"/>
  <c r="Q792" i="2" l="1"/>
  <c r="N793" i="2"/>
  <c r="Q793" i="2" l="1"/>
  <c r="N794" i="2"/>
  <c r="Q794" i="2" l="1"/>
  <c r="N795" i="2"/>
  <c r="Q795" i="2" l="1"/>
  <c r="N796" i="2"/>
  <c r="Q796" i="2" l="1"/>
  <c r="N797" i="2"/>
  <c r="Q797" i="2" l="1"/>
  <c r="N798" i="2"/>
  <c r="Q798" i="2" l="1"/>
  <c r="N799" i="2"/>
  <c r="Q799" i="2" l="1"/>
  <c r="N800" i="2"/>
  <c r="Q800" i="2" l="1"/>
  <c r="N801" i="2"/>
  <c r="Q801" i="2" l="1"/>
  <c r="N802" i="2"/>
  <c r="Q802" i="2" l="1"/>
  <c r="N803" i="2"/>
  <c r="Q803" i="2" l="1"/>
  <c r="N804" i="2"/>
  <c r="Q804" i="2" l="1"/>
  <c r="N805" i="2"/>
  <c r="Q805" i="2" l="1"/>
  <c r="N806" i="2"/>
  <c r="Q806" i="2" l="1"/>
  <c r="N807" i="2"/>
  <c r="Q807" i="2" l="1"/>
  <c r="N808" i="2"/>
  <c r="Q808" i="2" l="1"/>
  <c r="N809" i="2"/>
  <c r="Q809" i="2" l="1"/>
  <c r="N810" i="2"/>
  <c r="Q810" i="2" l="1"/>
  <c r="N811" i="2"/>
  <c r="Q811" i="2" l="1"/>
  <c r="N812" i="2"/>
  <c r="Q812" i="2" l="1"/>
  <c r="N813" i="2"/>
  <c r="Q813" i="2" l="1"/>
  <c r="N814" i="2"/>
  <c r="Q814" i="2" l="1"/>
  <c r="N815" i="2"/>
  <c r="Q815" i="2" l="1"/>
  <c r="N816" i="2"/>
  <c r="Q816" i="2" l="1"/>
  <c r="N817" i="2"/>
  <c r="Q817" i="2" l="1"/>
  <c r="N818" i="2"/>
  <c r="Q818" i="2" l="1"/>
  <c r="N819" i="2"/>
  <c r="Q819" i="2" l="1"/>
  <c r="N820" i="2"/>
  <c r="Q820" i="2" l="1"/>
  <c r="N821" i="2"/>
  <c r="Q821" i="2" l="1"/>
  <c r="N822" i="2"/>
  <c r="Q822" i="2" l="1"/>
  <c r="N823" i="2"/>
  <c r="Q823" i="2" l="1"/>
  <c r="N824" i="2"/>
  <c r="Q824" i="2" l="1"/>
  <c r="N825" i="2"/>
  <c r="Q825" i="2" l="1"/>
  <c r="N826" i="2"/>
  <c r="Q826" i="2" l="1"/>
  <c r="N827" i="2"/>
  <c r="Q827" i="2" l="1"/>
  <c r="N828" i="2"/>
  <c r="Q828" i="2" l="1"/>
  <c r="N829" i="2"/>
  <c r="Q829" i="2" l="1"/>
  <c r="N830" i="2"/>
  <c r="Q830" i="2" l="1"/>
  <c r="N831" i="2"/>
  <c r="Q831" i="2" l="1"/>
  <c r="N832" i="2"/>
  <c r="Q832" i="2" l="1"/>
  <c r="N833" i="2"/>
  <c r="Q833" i="2" l="1"/>
  <c r="N834" i="2"/>
  <c r="Q834" i="2" l="1"/>
  <c r="N835" i="2"/>
  <c r="Q835" i="2" l="1"/>
  <c r="N836" i="2"/>
  <c r="Q836" i="2" l="1"/>
  <c r="N837" i="2"/>
  <c r="Q837" i="2" l="1"/>
  <c r="N838" i="2"/>
  <c r="Q838" i="2" l="1"/>
  <c r="N839" i="2"/>
  <c r="Q839" i="2" l="1"/>
  <c r="N840" i="2"/>
  <c r="Q840" i="2" l="1"/>
  <c r="N841" i="2"/>
  <c r="Q841" i="2" l="1"/>
  <c r="N842" i="2"/>
  <c r="Q842" i="2" l="1"/>
  <c r="N843" i="2"/>
  <c r="Q843" i="2" l="1"/>
  <c r="N844" i="2"/>
  <c r="Q844" i="2" l="1"/>
  <c r="N845" i="2"/>
  <c r="Q845" i="2" l="1"/>
  <c r="N846" i="2"/>
  <c r="Q846" i="2" l="1"/>
  <c r="N847" i="2"/>
  <c r="Q847" i="2" l="1"/>
  <c r="N848" i="2"/>
  <c r="Q848" i="2" l="1"/>
  <c r="N849" i="2"/>
  <c r="Q849" i="2" l="1"/>
  <c r="N850" i="2"/>
  <c r="Q850" i="2" l="1"/>
  <c r="N851" i="2"/>
  <c r="Q851" i="2" l="1"/>
  <c r="N852" i="2"/>
  <c r="Q852" i="2" l="1"/>
  <c r="N853" i="2"/>
  <c r="Q853" i="2" l="1"/>
  <c r="N854" i="2"/>
  <c r="Q854" i="2" l="1"/>
  <c r="N855" i="2"/>
  <c r="Q855" i="2" l="1"/>
  <c r="N856" i="2"/>
  <c r="Q856" i="2" l="1"/>
  <c r="N857" i="2"/>
  <c r="Q857" i="2" l="1"/>
  <c r="N858" i="2"/>
  <c r="Q858" i="2" l="1"/>
  <c r="N859" i="2"/>
  <c r="Q859" i="2" l="1"/>
  <c r="N860" i="2"/>
  <c r="Q860" i="2" l="1"/>
  <c r="N861" i="2"/>
  <c r="Q861" i="2" l="1"/>
  <c r="N862" i="2"/>
  <c r="Q862" i="2" l="1"/>
  <c r="N863" i="2"/>
  <c r="Q863" i="2" l="1"/>
  <c r="N864" i="2"/>
  <c r="Q864" i="2" l="1"/>
  <c r="N865" i="2"/>
  <c r="Q865" i="2" l="1"/>
  <c r="N866" i="2"/>
  <c r="Q866" i="2" l="1"/>
  <c r="N867" i="2"/>
  <c r="Q867" i="2" l="1"/>
  <c r="N868" i="2"/>
  <c r="Q868" i="2" l="1"/>
  <c r="N869" i="2"/>
  <c r="Q869" i="2" l="1"/>
  <c r="N870" i="2"/>
  <c r="Q870" i="2" l="1"/>
  <c r="N871" i="2"/>
  <c r="Q871" i="2" l="1"/>
  <c r="N872" i="2"/>
  <c r="Q872" i="2" l="1"/>
  <c r="N873" i="2"/>
  <c r="Q873" i="2" l="1"/>
  <c r="N874" i="2"/>
  <c r="Q874" i="2" l="1"/>
  <c r="N875" i="2"/>
  <c r="Q875" i="2" l="1"/>
  <c r="N876" i="2"/>
  <c r="Q876" i="2" l="1"/>
  <c r="N877" i="2"/>
  <c r="Q877" i="2" l="1"/>
  <c r="N878" i="2"/>
  <c r="Q878" i="2" l="1"/>
  <c r="N879" i="2"/>
  <c r="Q879" i="2" l="1"/>
  <c r="N880" i="2"/>
  <c r="Q880" i="2" l="1"/>
  <c r="N881" i="2"/>
  <c r="Q881" i="2" l="1"/>
  <c r="N882" i="2"/>
  <c r="Q882" i="2" l="1"/>
  <c r="N883" i="2"/>
  <c r="Q883" i="2" l="1"/>
  <c r="N884" i="2"/>
  <c r="Q884" i="2" l="1"/>
  <c r="N885" i="2"/>
  <c r="Q885" i="2" l="1"/>
  <c r="N886" i="2"/>
  <c r="Q886" i="2" l="1"/>
  <c r="N887" i="2"/>
  <c r="Q887" i="2" l="1"/>
  <c r="N888" i="2"/>
  <c r="Q888" i="2" l="1"/>
  <c r="N889" i="2"/>
  <c r="Q889" i="2" l="1"/>
  <c r="N890" i="2"/>
  <c r="Q890" i="2" l="1"/>
  <c r="N891" i="2"/>
  <c r="Q891" i="2" l="1"/>
  <c r="N892" i="2"/>
  <c r="Q892" i="2" l="1"/>
  <c r="N893" i="2"/>
  <c r="Q893" i="2" l="1"/>
  <c r="N894" i="2"/>
  <c r="Q894" i="2" l="1"/>
  <c r="N895" i="2"/>
  <c r="Q895" i="2" l="1"/>
  <c r="N896" i="2"/>
  <c r="Q896" i="2" l="1"/>
  <c r="N897" i="2"/>
  <c r="Q897" i="2" l="1"/>
  <c r="N898" i="2"/>
  <c r="Q898" i="2" l="1"/>
  <c r="N899" i="2"/>
  <c r="Q899" i="2" l="1"/>
  <c r="N900" i="2"/>
  <c r="Q900" i="2" l="1"/>
  <c r="N901" i="2"/>
  <c r="Q901" i="2" l="1"/>
  <c r="N902" i="2"/>
  <c r="Q902" i="2" l="1"/>
  <c r="N903" i="2"/>
  <c r="Q903" i="2" l="1"/>
  <c r="N904" i="2"/>
  <c r="Q904" i="2" l="1"/>
  <c r="N905" i="2"/>
  <c r="Q905" i="2" l="1"/>
  <c r="N906" i="2"/>
  <c r="Q906" i="2" l="1"/>
  <c r="N907" i="2"/>
  <c r="Q907" i="2" l="1"/>
  <c r="N908" i="2"/>
  <c r="Q908" i="2" l="1"/>
  <c r="N909" i="2"/>
  <c r="Q909" i="2" l="1"/>
  <c r="N910" i="2"/>
  <c r="Q910" i="2" l="1"/>
  <c r="N911" i="2"/>
  <c r="Q911" i="2" l="1"/>
  <c r="N912" i="2"/>
  <c r="Q912" i="2" l="1"/>
  <c r="N913" i="2"/>
  <c r="Q913" i="2" l="1"/>
  <c r="N914" i="2"/>
  <c r="Q914" i="2" l="1"/>
  <c r="N915" i="2"/>
  <c r="Q915" i="2" l="1"/>
  <c r="N916" i="2"/>
  <c r="Q916" i="2" l="1"/>
  <c r="N917" i="2"/>
  <c r="Q917" i="2" l="1"/>
  <c r="N918" i="2"/>
  <c r="Q918" i="2" l="1"/>
  <c r="N919" i="2"/>
  <c r="Q919" i="2" l="1"/>
  <c r="N920" i="2"/>
  <c r="Q920" i="2" l="1"/>
  <c r="N921" i="2"/>
  <c r="Q921" i="2" l="1"/>
  <c r="N922" i="2"/>
  <c r="Q922" i="2" l="1"/>
  <c r="N923" i="2"/>
  <c r="Q923" i="2" l="1"/>
  <c r="N924" i="2"/>
  <c r="Q924" i="2" l="1"/>
  <c r="N925" i="2"/>
  <c r="Q925" i="2" l="1"/>
  <c r="N926" i="2"/>
  <c r="Q926" i="2" l="1"/>
  <c r="N927" i="2"/>
  <c r="Q927" i="2" l="1"/>
  <c r="N928" i="2"/>
  <c r="Q928" i="2" l="1"/>
  <c r="N929" i="2"/>
  <c r="Q929" i="2" l="1"/>
  <c r="N930" i="2"/>
  <c r="Q930" i="2" l="1"/>
  <c r="N931" i="2"/>
  <c r="Q931" i="2" l="1"/>
  <c r="N932" i="2"/>
  <c r="Q932" i="2" l="1"/>
  <c r="N933" i="2"/>
  <c r="Q933" i="2" l="1"/>
  <c r="N934" i="2"/>
  <c r="Q934" i="2" l="1"/>
  <c r="N935" i="2"/>
  <c r="Q935" i="2" l="1"/>
  <c r="N936" i="2"/>
  <c r="Q936" i="2" l="1"/>
  <c r="N937" i="2"/>
  <c r="Q937" i="2" l="1"/>
  <c r="N938" i="2"/>
  <c r="Q938" i="2" l="1"/>
  <c r="N939" i="2"/>
  <c r="Q939" i="2" l="1"/>
  <c r="N940" i="2"/>
  <c r="Q940" i="2" l="1"/>
  <c r="N941" i="2"/>
  <c r="Q941" i="2" l="1"/>
  <c r="N942" i="2"/>
  <c r="Q942" i="2" l="1"/>
  <c r="N943" i="2"/>
  <c r="Q943" i="2" l="1"/>
  <c r="N944" i="2"/>
  <c r="Q944" i="2" l="1"/>
  <c r="N945" i="2"/>
  <c r="Q945" i="2" l="1"/>
  <c r="N946" i="2"/>
  <c r="Q946" i="2" l="1"/>
  <c r="N947" i="2"/>
  <c r="Q947" i="2" l="1"/>
  <c r="N948" i="2"/>
  <c r="Q948" i="2" l="1"/>
  <c r="N949" i="2"/>
  <c r="Q949" i="2" l="1"/>
  <c r="N950" i="2"/>
  <c r="Q950" i="2" l="1"/>
  <c r="N951" i="2"/>
  <c r="Q951" i="2" l="1"/>
  <c r="N952" i="2"/>
  <c r="Q952" i="2" l="1"/>
  <c r="N953" i="2"/>
  <c r="Q953" i="2" l="1"/>
  <c r="N954" i="2"/>
  <c r="Q954" i="2" l="1"/>
  <c r="N955" i="2"/>
  <c r="Q955" i="2" l="1"/>
  <c r="N956" i="2"/>
  <c r="Q956" i="2" l="1"/>
  <c r="N957" i="2"/>
  <c r="Q957" i="2" l="1"/>
  <c r="N958" i="2"/>
  <c r="Q958" i="2" l="1"/>
  <c r="N959" i="2"/>
  <c r="Q959" i="2" l="1"/>
  <c r="N960" i="2"/>
  <c r="Q960" i="2" l="1"/>
  <c r="N961" i="2"/>
  <c r="Q961" i="2" l="1"/>
  <c r="N962" i="2"/>
  <c r="Q962" i="2" l="1"/>
  <c r="N963" i="2"/>
  <c r="Q963" i="2" l="1"/>
  <c r="N964" i="2"/>
  <c r="Q964" i="2" l="1"/>
  <c r="N965" i="2"/>
  <c r="Q965" i="2" l="1"/>
  <c r="N966" i="2"/>
  <c r="Q966" i="2" l="1"/>
  <c r="N967" i="2"/>
  <c r="Q967" i="2" l="1"/>
  <c r="N968" i="2"/>
  <c r="Q968" i="2" l="1"/>
  <c r="N969" i="2"/>
  <c r="Q969" i="2" l="1"/>
  <c r="N970" i="2"/>
  <c r="Q970" i="2" l="1"/>
  <c r="N971" i="2"/>
  <c r="Q971" i="2" l="1"/>
  <c r="N972" i="2"/>
  <c r="Q972" i="2" l="1"/>
  <c r="N973" i="2"/>
  <c r="Q973" i="2" l="1"/>
  <c r="N974" i="2"/>
  <c r="Q974" i="2" l="1"/>
  <c r="N975" i="2"/>
  <c r="Q975" i="2" l="1"/>
  <c r="N976" i="2"/>
  <c r="Q976" i="2" l="1"/>
  <c r="N977" i="2"/>
  <c r="Q977" i="2" l="1"/>
  <c r="N978" i="2"/>
  <c r="Q978" i="2" l="1"/>
  <c r="N979" i="2"/>
  <c r="Q979" i="2" l="1"/>
  <c r="N980" i="2"/>
  <c r="Q980" i="2" l="1"/>
  <c r="N981" i="2"/>
  <c r="Q981" i="2" l="1"/>
  <c r="N982" i="2"/>
  <c r="Q982" i="2" l="1"/>
  <c r="N983" i="2"/>
  <c r="Q983" i="2" l="1"/>
  <c r="N984" i="2"/>
  <c r="Q984" i="2" l="1"/>
  <c r="N985" i="2"/>
  <c r="Q985" i="2" l="1"/>
  <c r="N986" i="2"/>
  <c r="Q986" i="2" l="1"/>
  <c r="N987" i="2"/>
  <c r="Q987" i="2" l="1"/>
  <c r="N988" i="2"/>
  <c r="Q988" i="2" l="1"/>
  <c r="N989" i="2"/>
  <c r="Q989" i="2" l="1"/>
  <c r="N990" i="2"/>
  <c r="Q990" i="2" l="1"/>
  <c r="N991" i="2"/>
  <c r="Q991" i="2" l="1"/>
  <c r="N992" i="2"/>
  <c r="Q992" i="2" l="1"/>
  <c r="N993" i="2"/>
  <c r="Q993" i="2" l="1"/>
  <c r="N994" i="2"/>
  <c r="Q994" i="2" l="1"/>
  <c r="N995" i="2"/>
  <c r="Q995" i="2" l="1"/>
  <c r="N996" i="2"/>
  <c r="Q996" i="2" l="1"/>
  <c r="N997" i="2"/>
  <c r="Q997" i="2" l="1"/>
  <c r="N998" i="2"/>
  <c r="Q998" i="2" l="1"/>
  <c r="N999" i="2"/>
  <c r="Q999" i="2" l="1"/>
  <c r="N1000" i="2"/>
  <c r="Q1000" i="2" l="1"/>
  <c r="N1001" i="2"/>
  <c r="Q1001" i="2" l="1"/>
  <c r="N1002" i="2"/>
  <c r="Q1002" i="2" l="1"/>
  <c r="N1003" i="2"/>
  <c r="Q1003" i="2" l="1"/>
  <c r="N1004" i="2"/>
  <c r="Q1004" i="2" l="1"/>
  <c r="N1005" i="2"/>
  <c r="Q1005" i="2" l="1"/>
  <c r="N1006" i="2"/>
  <c r="Q1006" i="2" l="1"/>
  <c r="N1007" i="2"/>
  <c r="Q1007" i="2" l="1"/>
  <c r="N1008" i="2"/>
  <c r="Q1008" i="2" l="1"/>
  <c r="N1009" i="2"/>
  <c r="Q1009" i="2" l="1"/>
  <c r="N1010" i="2"/>
  <c r="Q1010" i="2" l="1"/>
  <c r="N1011" i="2"/>
  <c r="Q1011" i="2" l="1"/>
  <c r="N1012" i="2"/>
  <c r="Q1012" i="2" l="1"/>
  <c r="N1013" i="2"/>
  <c r="Q1013" i="2" l="1"/>
  <c r="N1014" i="2"/>
  <c r="Q1014" i="2" l="1"/>
  <c r="N1015" i="2"/>
  <c r="Q1015" i="2" l="1"/>
  <c r="N1016" i="2"/>
  <c r="Q1016" i="2" l="1"/>
  <c r="N1017" i="2"/>
  <c r="Q1017" i="2" l="1"/>
  <c r="N1018" i="2"/>
  <c r="Q1018" i="2" l="1"/>
  <c r="N1019" i="2"/>
  <c r="Q1019" i="2" l="1"/>
  <c r="N1020" i="2"/>
  <c r="Q1020" i="2" l="1"/>
  <c r="N1021" i="2"/>
  <c r="Q1021" i="2" l="1"/>
  <c r="N1022" i="2"/>
  <c r="Q1022" i="2" l="1"/>
  <c r="N1023" i="2"/>
  <c r="Q1023" i="2" l="1"/>
  <c r="N1024" i="2"/>
  <c r="Q1024" i="2" l="1"/>
  <c r="N1025" i="2"/>
  <c r="Q1025" i="2" l="1"/>
  <c r="N1026" i="2"/>
  <c r="Q1026" i="2" l="1"/>
  <c r="N1027" i="2"/>
  <c r="Q1027" i="2" l="1"/>
  <c r="N1028" i="2"/>
  <c r="Q1028" i="2" l="1"/>
  <c r="N1029" i="2"/>
  <c r="Q1029" i="2" l="1"/>
  <c r="N1030" i="2"/>
  <c r="Q1030" i="2" l="1"/>
  <c r="N1031" i="2"/>
  <c r="Q1031" i="2" l="1"/>
  <c r="N1032" i="2"/>
  <c r="Q1032" i="2" l="1"/>
  <c r="N1033" i="2"/>
  <c r="Q1033" i="2" l="1"/>
  <c r="N1034" i="2"/>
  <c r="Q1034" i="2" l="1"/>
  <c r="N1035" i="2"/>
  <c r="Q1035" i="2" l="1"/>
  <c r="N1036" i="2"/>
  <c r="Q1036" i="2" l="1"/>
  <c r="N1037" i="2"/>
  <c r="Q1037" i="2" l="1"/>
  <c r="N1038" i="2"/>
  <c r="Q1038" i="2" l="1"/>
  <c r="N1039" i="2"/>
  <c r="Q1039" i="2" l="1"/>
  <c r="N1040" i="2"/>
  <c r="Q1040" i="2" l="1"/>
  <c r="N1041" i="2"/>
  <c r="Q1041" i="2" l="1"/>
  <c r="N1042" i="2"/>
  <c r="Q1042" i="2" l="1"/>
  <c r="N1043" i="2"/>
  <c r="Q1043" i="2" l="1"/>
  <c r="N1044" i="2"/>
  <c r="Q1044" i="2" l="1"/>
  <c r="N1045" i="2"/>
  <c r="Q1045" i="2" l="1"/>
  <c r="N1046" i="2"/>
  <c r="Q1046" i="2" l="1"/>
  <c r="N1047" i="2"/>
  <c r="Q1047" i="2" l="1"/>
  <c r="N1048" i="2"/>
  <c r="Q1048" i="2" l="1"/>
  <c r="N1049" i="2"/>
  <c r="Q1049" i="2" l="1"/>
  <c r="N1050" i="2"/>
  <c r="Q1050" i="2" l="1"/>
  <c r="N1051" i="2"/>
  <c r="Q1051" i="2" l="1"/>
  <c r="N1052" i="2"/>
  <c r="Q1052" i="2" l="1"/>
  <c r="N1053" i="2"/>
  <c r="Q1053" i="2" l="1"/>
  <c r="N1054" i="2"/>
  <c r="Q1054" i="2" l="1"/>
  <c r="N1055" i="2"/>
  <c r="Q1055" i="2" l="1"/>
  <c r="N1056" i="2"/>
  <c r="Q1056" i="2" l="1"/>
  <c r="N1057" i="2"/>
  <c r="Q1057" i="2" l="1"/>
  <c r="N1058" i="2"/>
  <c r="Q1058" i="2" l="1"/>
  <c r="N1059" i="2"/>
  <c r="Q1059" i="2" l="1"/>
  <c r="N1060" i="2"/>
  <c r="Q1060" i="2" l="1"/>
  <c r="N1061" i="2"/>
  <c r="Q1061" i="2" l="1"/>
  <c r="N1062" i="2"/>
  <c r="Q1062" i="2" l="1"/>
  <c r="N1063" i="2"/>
  <c r="Q1063" i="2" l="1"/>
  <c r="N1064" i="2"/>
  <c r="Q1064" i="2" l="1"/>
  <c r="N1065" i="2"/>
  <c r="Q1065" i="2" l="1"/>
  <c r="N1066" i="2"/>
  <c r="Q1066" i="2" l="1"/>
  <c r="N1067" i="2"/>
  <c r="Q1067" i="2" l="1"/>
  <c r="N1068" i="2"/>
  <c r="Q1068" i="2" l="1"/>
  <c r="N1069" i="2"/>
  <c r="Q1069" i="2" l="1"/>
  <c r="N1070" i="2"/>
  <c r="Q1070" i="2" l="1"/>
  <c r="N1071" i="2"/>
  <c r="Q1071" i="2" l="1"/>
  <c r="N1072" i="2"/>
  <c r="Q1072" i="2" l="1"/>
  <c r="N1073" i="2"/>
  <c r="Q1073" i="2" l="1"/>
  <c r="N1074" i="2"/>
  <c r="Q1074" i="2" l="1"/>
  <c r="N1075" i="2"/>
  <c r="Q1075" i="2" l="1"/>
  <c r="N1076" i="2"/>
  <c r="Q1076" i="2" l="1"/>
  <c r="N1077" i="2"/>
  <c r="Q1077" i="2" l="1"/>
  <c r="N1078" i="2"/>
  <c r="Q1078" i="2" l="1"/>
  <c r="N1079" i="2"/>
  <c r="Q1079" i="2" l="1"/>
  <c r="N1080" i="2"/>
  <c r="Q1080" i="2" l="1"/>
  <c r="N1081" i="2"/>
  <c r="Q1081" i="2" s="1"/>
  <c r="S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4583E4-7769-4C05-956F-4F8E0488DC4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193EFAC-3687-4548-B6D3-BDAED8703D62}" name="WorksheetConnection_SC_MNC_Raw_Data.xlsx!Table3" type="102" refreshedVersion="8" minRefreshableVersion="5">
    <extLst>
      <ext xmlns:x15="http://schemas.microsoft.com/office/spreadsheetml/2010/11/main" uri="{DE250136-89BD-433C-8126-D09CA5730AF9}">
        <x15:connection id="Table3">
          <x15:rangePr sourceName="_xlcn.WorksheetConnection_SC_MNC_Raw_Data.xlsxTable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<sst xmlns="http://schemas.openxmlformats.org/spreadsheetml/2006/main" count="6626" uniqueCount="404">
  <si>
    <t>SKU_ID</t>
  </si>
  <si>
    <t>Product_Name</t>
  </si>
  <si>
    <t>Category</t>
  </si>
  <si>
    <t>Sub_Category</t>
  </si>
  <si>
    <t>UOM</t>
  </si>
  <si>
    <t>Unit_Cost_(INR)</t>
  </si>
  <si>
    <t>Selling_Price_(INR)</t>
  </si>
  <si>
    <t>Lead_Time_(Days)</t>
  </si>
  <si>
    <t>Min_Order_Qty</t>
  </si>
  <si>
    <t>Shelf_Life_(Days)</t>
  </si>
  <si>
    <t>Storage_Type</t>
  </si>
  <si>
    <t>Status</t>
  </si>
  <si>
    <t>SKU001</t>
  </si>
  <si>
    <t>Surf Excel 1kg</t>
  </si>
  <si>
    <t>Detergent</t>
  </si>
  <si>
    <t>Laundry</t>
  </si>
  <si>
    <t>Units</t>
  </si>
  <si>
    <t>730</t>
  </si>
  <si>
    <t>Ambient</t>
  </si>
  <si>
    <t>Active</t>
  </si>
  <si>
    <t>SKU002</t>
  </si>
  <si>
    <t>Surf Excel 500g</t>
  </si>
  <si>
    <t>SKU003</t>
  </si>
  <si>
    <t>Vim Bar 200g</t>
  </si>
  <si>
    <t>Dishwash</t>
  </si>
  <si>
    <t>Bar</t>
  </si>
  <si>
    <t>365</t>
  </si>
  <si>
    <t>SKU004</t>
  </si>
  <si>
    <t>Vim Liquid 500ml</t>
  </si>
  <si>
    <t>Liquid</t>
  </si>
  <si>
    <t>SKU005</t>
  </si>
  <si>
    <t>Lux Soap 100g</t>
  </si>
  <si>
    <t>Personal Care</t>
  </si>
  <si>
    <t>Bathing</t>
  </si>
  <si>
    <t>SKU006</t>
  </si>
  <si>
    <t>Lifebuoy 125g</t>
  </si>
  <si>
    <t>SKU007</t>
  </si>
  <si>
    <t>Dove Shampoo 180ml</t>
  </si>
  <si>
    <t>Hair</t>
  </si>
  <si>
    <t>SKU008</t>
  </si>
  <si>
    <t>Sunsilk Shampoo 180ml</t>
  </si>
  <si>
    <t>SKU009</t>
  </si>
  <si>
    <t>Vaseline 100ml</t>
  </si>
  <si>
    <t>Skincare</t>
  </si>
  <si>
    <t>1095</t>
  </si>
  <si>
    <t>SKU010</t>
  </si>
  <si>
    <t>Clinic Plus 80ml</t>
  </si>
  <si>
    <t>SKU011</t>
  </si>
  <si>
    <t>Rin Powder 1kg</t>
  </si>
  <si>
    <t>SKU012</t>
  </si>
  <si>
    <t>Comfort 200ml</t>
  </si>
  <si>
    <t>Fabric Care</t>
  </si>
  <si>
    <t>Conditioner</t>
  </si>
  <si>
    <t>SKU013</t>
  </si>
  <si>
    <t>Pepsodent 150g</t>
  </si>
  <si>
    <t>Oral Care</t>
  </si>
  <si>
    <t>Toothpaste</t>
  </si>
  <si>
    <t>SKU014</t>
  </si>
  <si>
    <t>Close Up 80g</t>
  </si>
  <si>
    <t>SKU015</t>
  </si>
  <si>
    <t>Kissan Ketchup 500g</t>
  </si>
  <si>
    <t>Food</t>
  </si>
  <si>
    <t>Sauces</t>
  </si>
  <si>
    <t>Cold</t>
  </si>
  <si>
    <t>Record_ID</t>
  </si>
  <si>
    <t>Region</t>
  </si>
  <si>
    <t>Month</t>
  </si>
  <si>
    <t>Year</t>
  </si>
  <si>
    <t>Month_Year</t>
  </si>
  <si>
    <t>Actual_Demand_(Units)</t>
  </si>
  <si>
    <t>Forecast_(Units)</t>
  </si>
  <si>
    <t>Forecast_Error</t>
  </si>
  <si>
    <t>MAPE_(%)</t>
  </si>
  <si>
    <t>Channel</t>
  </si>
  <si>
    <t>North</t>
  </si>
  <si>
    <t>Jan-2023</t>
  </si>
  <si>
    <t>General Trade</t>
  </si>
  <si>
    <t>Feb-2023</t>
  </si>
  <si>
    <t>Modern Trade</t>
  </si>
  <si>
    <t>Mar-2023</t>
  </si>
  <si>
    <t>Apr-2023</t>
  </si>
  <si>
    <t>May-2023</t>
  </si>
  <si>
    <t>Jun-2023</t>
  </si>
  <si>
    <t>E-Commerce</t>
  </si>
  <si>
    <t>Jul-2023</t>
  </si>
  <si>
    <t>Aug-2023</t>
  </si>
  <si>
    <t>Sep-2023</t>
  </si>
  <si>
    <t>Oct-2023</t>
  </si>
  <si>
    <t>Nov-2023</t>
  </si>
  <si>
    <t>Dec-2023</t>
  </si>
  <si>
    <t>Jan-2024</t>
  </si>
  <si>
    <t>Feb-2024</t>
  </si>
  <si>
    <t>Mar-2024</t>
  </si>
  <si>
    <t>Apr-2024</t>
  </si>
  <si>
    <t>May-2024</t>
  </si>
  <si>
    <t>Jun-2024</t>
  </si>
  <si>
    <t>Jul-2024</t>
  </si>
  <si>
    <t>Aug-2024</t>
  </si>
  <si>
    <t>Sep-2024</t>
  </si>
  <si>
    <t>Oct-2024</t>
  </si>
  <si>
    <t>Nov-2024</t>
  </si>
  <si>
    <t>Dec-2024</t>
  </si>
  <si>
    <t>South</t>
  </si>
  <si>
    <t>West</t>
  </si>
  <si>
    <t>Warehouse</t>
  </si>
  <si>
    <t>Opening_Stock</t>
  </si>
  <si>
    <t>Receipts</t>
  </si>
  <si>
    <t>Dispatches</t>
  </si>
  <si>
    <t>Closing_Stock</t>
  </si>
  <si>
    <t>EOQ</t>
  </si>
  <si>
    <t>Stock_Status</t>
  </si>
  <si>
    <t>Delhi WH</t>
  </si>
  <si>
    <t>OK</t>
  </si>
  <si>
    <t>Mumbai WH</t>
  </si>
  <si>
    <t>Bangalore WH</t>
  </si>
  <si>
    <t>Supplier_ID</t>
  </si>
  <si>
    <t>Supplier_Name</t>
  </si>
  <si>
    <t>Location</t>
  </si>
  <si>
    <t>Contact_Person</t>
  </si>
  <si>
    <t>Payment_Terms</t>
  </si>
  <si>
    <t>Min_Order_Value_(INR)</t>
  </si>
  <si>
    <t>On_Time_Delivery_(%)</t>
  </si>
  <si>
    <t>Quality_Rejection_(%)</t>
  </si>
  <si>
    <t>Preferred</t>
  </si>
  <si>
    <t>SUP001</t>
  </si>
  <si>
    <t>Hindustan Unilever Ltd</t>
  </si>
  <si>
    <t>Detergent / Personal Care</t>
  </si>
  <si>
    <t>Mumbai</t>
  </si>
  <si>
    <t>Ramesh Kumar</t>
  </si>
  <si>
    <t>Net 30</t>
  </si>
  <si>
    <t>Yes</t>
  </si>
  <si>
    <t>SUP002</t>
  </si>
  <si>
    <t>Procter &amp; Gamble</t>
  </si>
  <si>
    <t>Sneha Iyer</t>
  </si>
  <si>
    <t>Net 45</t>
  </si>
  <si>
    <t>SUP003</t>
  </si>
  <si>
    <t>Reckitt Benckiser</t>
  </si>
  <si>
    <t>Health &amp; Hygiene</t>
  </si>
  <si>
    <t>Gurgaon</t>
  </si>
  <si>
    <t>Ajay Sharma</t>
  </si>
  <si>
    <t>SUP004</t>
  </si>
  <si>
    <t>Godrej Consumer</t>
  </si>
  <si>
    <t>Priya Mehta</t>
  </si>
  <si>
    <t>SUP005</t>
  </si>
  <si>
    <t>Marico Ltd</t>
  </si>
  <si>
    <t>Hair Care</t>
  </si>
  <si>
    <t>Vivek Nair</t>
  </si>
  <si>
    <t>No</t>
  </si>
  <si>
    <t>SUP006</t>
  </si>
  <si>
    <t>Dabur India</t>
  </si>
  <si>
    <t>Oral / Health</t>
  </si>
  <si>
    <t>Delhi</t>
  </si>
  <si>
    <t>Sunita Rao</t>
  </si>
  <si>
    <t>SUP007</t>
  </si>
  <si>
    <t>Emami Ltd</t>
  </si>
  <si>
    <t>Kolkata</t>
  </si>
  <si>
    <t>Anil Gupta</t>
  </si>
  <si>
    <t>SUP008</t>
  </si>
  <si>
    <t>ITC Ltd</t>
  </si>
  <si>
    <t>Deepak Joshi</t>
  </si>
  <si>
    <t>Net 60</t>
  </si>
  <si>
    <t>SUP009</t>
  </si>
  <si>
    <t>Nestle India</t>
  </si>
  <si>
    <t>Pune</t>
  </si>
  <si>
    <t>Kavita Singh</t>
  </si>
  <si>
    <t>SUP010</t>
  </si>
  <si>
    <t>Wipro Consumer</t>
  </si>
  <si>
    <t>Lighting / Consumer</t>
  </si>
  <si>
    <t>Bangalore</t>
  </si>
  <si>
    <t>Rohit Das</t>
  </si>
  <si>
    <t>PO_Number</t>
  </si>
  <si>
    <t>PO_Date</t>
  </si>
  <si>
    <t>Expected_Delivery</t>
  </si>
  <si>
    <t>Actual_Delivery</t>
  </si>
  <si>
    <t>Qty_Ordered</t>
  </si>
  <si>
    <t>Qty_Received</t>
  </si>
  <si>
    <t>PO_Value_(INR)</t>
  </si>
  <si>
    <t>Remarks</t>
  </si>
  <si>
    <t>PO-2024-0001</t>
  </si>
  <si>
    <t>14-Sep-2024</t>
  </si>
  <si>
    <t>28-Sep-2024</t>
  </si>
  <si>
    <t>-</t>
  </si>
  <si>
    <t>In Transit</t>
  </si>
  <si>
    <t>PO-2024-0002</t>
  </si>
  <si>
    <t>29-Aug-2024</t>
  </si>
  <si>
    <t>12-Sep-2024</t>
  </si>
  <si>
    <t>Pending</t>
  </si>
  <si>
    <t>PO-2024-0003</t>
  </si>
  <si>
    <t>01-Oct-2024</t>
  </si>
  <si>
    <t>15-Oct-2024</t>
  </si>
  <si>
    <t>PO-2024-0004</t>
  </si>
  <si>
    <t>23-Nov-2024</t>
  </si>
  <si>
    <t>07-Dec-2024</t>
  </si>
  <si>
    <t>Delivered</t>
  </si>
  <si>
    <t>On time</t>
  </si>
  <si>
    <t>PO-2024-0005</t>
  </si>
  <si>
    <t>09-Jun-2024</t>
  </si>
  <si>
    <t>23-Jun-2024</t>
  </si>
  <si>
    <t>21-Jun-2024</t>
  </si>
  <si>
    <t>PO-2024-0006</t>
  </si>
  <si>
    <t>27-Jun-2024</t>
  </si>
  <si>
    <t>11-Jul-2024</t>
  </si>
  <si>
    <t>14-Jul-2024</t>
  </si>
  <si>
    <t>Delayed</t>
  </si>
  <si>
    <t>PO-2024-0007</t>
  </si>
  <si>
    <t>05-Sep-2024</t>
  </si>
  <si>
    <t>19-Sep-2024</t>
  </si>
  <si>
    <t>18-Sep-2024</t>
  </si>
  <si>
    <t>PO-2024-0008</t>
  </si>
  <si>
    <t>24-Jun-2024</t>
  </si>
  <si>
    <t>08-Jul-2024</t>
  </si>
  <si>
    <t>13-Jul-2024</t>
  </si>
  <si>
    <t>PO-2024-0009</t>
  </si>
  <si>
    <t>03-Oct-2024</t>
  </si>
  <si>
    <t>07-Oct-2024</t>
  </si>
  <si>
    <t>PO-2024-0010</t>
  </si>
  <si>
    <t>26-Jun-2024</t>
  </si>
  <si>
    <t>10-Jul-2024</t>
  </si>
  <si>
    <t>PO-2024-0011</t>
  </si>
  <si>
    <t>13-Sep-2024</t>
  </si>
  <si>
    <t>27-Sep-2024</t>
  </si>
  <si>
    <t>PO-2024-0012</t>
  </si>
  <si>
    <t>17-Oct-2024</t>
  </si>
  <si>
    <t>31-Oct-2024</t>
  </si>
  <si>
    <t>02-Nov-2024</t>
  </si>
  <si>
    <t>PO-2024-0013</t>
  </si>
  <si>
    <t>25-Jun-2024</t>
  </si>
  <si>
    <t>09-Jul-2024</t>
  </si>
  <si>
    <t>PO-2024-0014</t>
  </si>
  <si>
    <t>04-Oct-2024</t>
  </si>
  <si>
    <t>18-Oct-2024</t>
  </si>
  <si>
    <t>16-Oct-2024</t>
  </si>
  <si>
    <t>PO-2024-0015</t>
  </si>
  <si>
    <t>02-Oct-2024</t>
  </si>
  <si>
    <t>PO-2024-0016</t>
  </si>
  <si>
    <t>08-Nov-2024</t>
  </si>
  <si>
    <t>22-Nov-2024</t>
  </si>
  <si>
    <t>PO-2024-0017</t>
  </si>
  <si>
    <t>PO-2024-0018</t>
  </si>
  <si>
    <t>14-Aug-2024</t>
  </si>
  <si>
    <t>28-Aug-2024</t>
  </si>
  <si>
    <t>02-Sep-2024</t>
  </si>
  <si>
    <t>PO-2024-0019</t>
  </si>
  <si>
    <t>18-Aug-2024</t>
  </si>
  <si>
    <t>01-Sep-2024</t>
  </si>
  <si>
    <t>PO-2024-0020</t>
  </si>
  <si>
    <t>17-Nov-2024</t>
  </si>
  <si>
    <t>01-Dec-2024</t>
  </si>
  <si>
    <t>30-Nov-2024</t>
  </si>
  <si>
    <t>PO-2024-0021</t>
  </si>
  <si>
    <t>08-Sep-2024</t>
  </si>
  <si>
    <t>22-Sep-2024</t>
  </si>
  <si>
    <t>25-Sep-2024</t>
  </si>
  <si>
    <t>PO-2024-0022</t>
  </si>
  <si>
    <t>03-Sep-2024</t>
  </si>
  <si>
    <t>17-Sep-2024</t>
  </si>
  <si>
    <t>PO-2024-0023</t>
  </si>
  <si>
    <t>21-Sep-2024</t>
  </si>
  <si>
    <t>05-Oct-2024</t>
  </si>
  <si>
    <t>PO-2024-0024</t>
  </si>
  <si>
    <t>08-Aug-2024</t>
  </si>
  <si>
    <t>22-Aug-2024</t>
  </si>
  <si>
    <t>PO-2024-0025</t>
  </si>
  <si>
    <t>26-Nov-2024</t>
  </si>
  <si>
    <t>10-Dec-2024</t>
  </si>
  <si>
    <t>09-Dec-2024</t>
  </si>
  <si>
    <t>PO-2024-0026</t>
  </si>
  <si>
    <t>PO-2024-0027</t>
  </si>
  <si>
    <t>29-Oct-2024</t>
  </si>
  <si>
    <t>12-Nov-2024</t>
  </si>
  <si>
    <t>10-Nov-2024</t>
  </si>
  <si>
    <t>PO-2024-0028</t>
  </si>
  <si>
    <t>12-Oct-2024</t>
  </si>
  <si>
    <t>26-Oct-2024</t>
  </si>
  <si>
    <t>PO-2024-0029</t>
  </si>
  <si>
    <t>PO-2024-0030</t>
  </si>
  <si>
    <t>31-Jul-2024</t>
  </si>
  <si>
    <t>PO-2024-0031</t>
  </si>
  <si>
    <t>10-Sep-2024</t>
  </si>
  <si>
    <t>24-Sep-2024</t>
  </si>
  <si>
    <t>PO-2024-0032</t>
  </si>
  <si>
    <t>23-Sep-2024</t>
  </si>
  <si>
    <t>PO-2024-0033</t>
  </si>
  <si>
    <t>20-Jul-2024</t>
  </si>
  <si>
    <t>03-Aug-2024</t>
  </si>
  <si>
    <t>01-Aug-2024</t>
  </si>
  <si>
    <t>PO-2024-0034</t>
  </si>
  <si>
    <t>06-Dec-2024</t>
  </si>
  <si>
    <t>PO-2024-0035</t>
  </si>
  <si>
    <t>24-Nov-2024</t>
  </si>
  <si>
    <t>PO-2024-0036</t>
  </si>
  <si>
    <t>18-Jun-2024</t>
  </si>
  <si>
    <t>02-Jul-2024</t>
  </si>
  <si>
    <t>06-Jul-2024</t>
  </si>
  <si>
    <t>PO-2024-0037</t>
  </si>
  <si>
    <t>20-Oct-2024</t>
  </si>
  <si>
    <t>03-Nov-2024</t>
  </si>
  <si>
    <t>05-Nov-2024</t>
  </si>
  <si>
    <t>PO-2024-0038</t>
  </si>
  <si>
    <t>04-Jun-2024</t>
  </si>
  <si>
    <t>PO-2024-0039</t>
  </si>
  <si>
    <t>16-Sep-2024</t>
  </si>
  <si>
    <t>30-Sep-2024</t>
  </si>
  <si>
    <t>PO-2024-0040</t>
  </si>
  <si>
    <t>24-Oct-2024</t>
  </si>
  <si>
    <t>07-Nov-2024</t>
  </si>
  <si>
    <t>PO-2024-0041</t>
  </si>
  <si>
    <t>PO-2024-0042</t>
  </si>
  <si>
    <t>30-Oct-2024</t>
  </si>
  <si>
    <t>PO-2024-0043</t>
  </si>
  <si>
    <t>15-Nov-2024</t>
  </si>
  <si>
    <t>29-Nov-2024</t>
  </si>
  <si>
    <t>PO-2024-0044</t>
  </si>
  <si>
    <t>14-Oct-2024</t>
  </si>
  <si>
    <t>PO-2024-0045</t>
  </si>
  <si>
    <t>07-Jul-2024</t>
  </si>
  <si>
    <t>21-Jul-2024</t>
  </si>
  <si>
    <t>PO-2024-0046</t>
  </si>
  <si>
    <t>25-Nov-2024</t>
  </si>
  <si>
    <t>PO-2024-0047</t>
  </si>
  <si>
    <t>24-Aug-2024</t>
  </si>
  <si>
    <t>07-Sep-2024</t>
  </si>
  <si>
    <t>PO-2024-0048</t>
  </si>
  <si>
    <t>20-Aug-2024</t>
  </si>
  <si>
    <t>PO-2024-0049</t>
  </si>
  <si>
    <t>17-Aug-2024</t>
  </si>
  <si>
    <t>31-Aug-2024</t>
  </si>
  <si>
    <t>PO-2024-0050</t>
  </si>
  <si>
    <t>11-Dec-2024</t>
  </si>
  <si>
    <t>PO-2024-0051</t>
  </si>
  <si>
    <t>06-Oct-2024</t>
  </si>
  <si>
    <t>08-Oct-2024</t>
  </si>
  <si>
    <t>PO-2024-0052</t>
  </si>
  <si>
    <t>16-Nov-2024</t>
  </si>
  <si>
    <t>PO-2024-0053</t>
  </si>
  <si>
    <t>PO-2024-0054</t>
  </si>
  <si>
    <t>04-Sep-2024</t>
  </si>
  <si>
    <t>PO-2024-0055</t>
  </si>
  <si>
    <t>22-Oct-2024</t>
  </si>
  <si>
    <t>PO-2024-0056</t>
  </si>
  <si>
    <t>13-Oct-2024</t>
  </si>
  <si>
    <t>27-Oct-2024</t>
  </si>
  <si>
    <t>PO-2024-0057</t>
  </si>
  <si>
    <t>PO-2024-0058</t>
  </si>
  <si>
    <t>09-Oct-2024</t>
  </si>
  <si>
    <t>PO-2024-0059</t>
  </si>
  <si>
    <t>10-Aug-2024</t>
  </si>
  <si>
    <t>PO-2024-0060</t>
  </si>
  <si>
    <t>Moving_Avg</t>
  </si>
  <si>
    <t>Exponential_Smoothing</t>
  </si>
  <si>
    <t>MAPE</t>
  </si>
  <si>
    <t>Error</t>
  </si>
  <si>
    <t>MAPE(Exponential)</t>
  </si>
  <si>
    <t>model</t>
  </si>
  <si>
    <t>Avg_MAPE</t>
  </si>
  <si>
    <t>System Forecast</t>
  </si>
  <si>
    <t>Exponential Smoothing</t>
  </si>
  <si>
    <t>Product</t>
  </si>
  <si>
    <t>Row Labels</t>
  </si>
  <si>
    <t>Grand Total</t>
  </si>
  <si>
    <t>region</t>
  </si>
  <si>
    <t>01-01-2025</t>
  </si>
  <si>
    <t>01-02-2025</t>
  </si>
  <si>
    <t>01-03-2025</t>
  </si>
  <si>
    <t>01-04-2025</t>
  </si>
  <si>
    <t>01-05-2025</t>
  </si>
  <si>
    <t>01-06-2025</t>
  </si>
  <si>
    <t>Column Labels</t>
  </si>
  <si>
    <t xml:space="preserve"> 01-01-2025</t>
  </si>
  <si>
    <t>Total  01-01-2025</t>
  </si>
  <si>
    <t xml:space="preserve"> 01-02-2025</t>
  </si>
  <si>
    <t>Total  01-02-2025</t>
  </si>
  <si>
    <t xml:space="preserve"> 01-04-2025</t>
  </si>
  <si>
    <t>Total  01-04-2025</t>
  </si>
  <si>
    <t xml:space="preserve"> 01-03-2025</t>
  </si>
  <si>
    <t>Total  01-03-2025</t>
  </si>
  <si>
    <t xml:space="preserve"> 01-05-2025</t>
  </si>
  <si>
    <t>Total  01-05-2025</t>
  </si>
  <si>
    <t>Total 01-06-2025</t>
  </si>
  <si>
    <t>Ordering cost</t>
  </si>
  <si>
    <t>Holding cost</t>
  </si>
  <si>
    <t>Safety Stock</t>
  </si>
  <si>
    <t>Days of Cover</t>
  </si>
  <si>
    <t>Reorder Point</t>
  </si>
  <si>
    <t>Annual demand</t>
  </si>
  <si>
    <t>Std_Dev</t>
  </si>
  <si>
    <t>Days Of Cover</t>
  </si>
  <si>
    <t>Stock Status flag</t>
  </si>
  <si>
    <t>SKU</t>
  </si>
  <si>
    <t>Mean Demand</t>
  </si>
  <si>
    <t>StDev Demand</t>
  </si>
  <si>
    <t xml:space="preserve"> CV Demand </t>
  </si>
  <si>
    <t xml:space="preserve"> Mean Orders </t>
  </si>
  <si>
    <t xml:space="preserve"> StDev Orders</t>
  </si>
  <si>
    <t>CV Orders</t>
  </si>
  <si>
    <t>Bullwhip Ratio</t>
  </si>
  <si>
    <t>Interpretation</t>
  </si>
  <si>
    <t>Current Stock</t>
  </si>
  <si>
    <t>Incoming PO</t>
  </si>
  <si>
    <t>Total Supply</t>
  </si>
  <si>
    <t>6M Forecast</t>
  </si>
  <si>
    <t>Gap</t>
  </si>
  <si>
    <t>Gap %</t>
  </si>
  <si>
    <t>Total forecast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</si>
</sst>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0"/>
      <color rgb="FFFFFFFF"/>
      <name val="Arial"/>
      <charset val="1"/>
    </font>
    <font>
      <sz val="9"/>
      <name val="Arial"/>
      <charset val="1"/>
    </font>
    <font>
      <b/>
      <sz val="10"/>
      <color rgb="FFFFFFFF"/>
      <name val="Arial"/>
      <family val="2"/>
    </font>
    <font>
      <sz val="9"/>
      <name val="Arial"/>
      <family val="2"/>
    </font>
    <font>
      <sz val="9"/>
      <name val="Arial"/>
      <family val="2"/>
      <charset val="1"/>
    </font>
    <font>
      <b/>
      <sz val="11"/>
      <color theme="1"/>
      <name val="Calibri"/>
      <family val="2"/>
      <charset val="1"/>
    </font>
  </fonts>
  <fills count="4">
    <fill>
      <patternFill patternType="none"/>
    </fill>
    <fill>
      <patternFill patternType="gray125"/>
    </fill>
    <fill>
      <patternFill patternType="solid">
        <fgColor rgb="FF1F4E79"/>
        <bgColor rgb="FF003366"/>
      </patternFill>
    </fill>
    <fill>
      <patternFill patternType="solid">
        <fgColor rgb="FFD6E4F0"/>
        <bgColor rgb="FFCCFFFF"/>
      </patternFill>
    </fill>
  </fills>
  <borders count="5">
    <border>
      <left/>
      <right/>
      <top/>
      <bottom/>
      <diagonal/>
    </border>
    <border>
      <left style="thin">
        <color rgb="FFB0B0B0"/>
      </left>
      <right style="thin">
        <color rgb="FFB0B0B0"/>
      </right>
      <top style="thin">
        <color rgb="FFB0B0B0"/>
      </top>
      <bottom style="thin">
        <color rgb="FFB0B0B0"/>
      </bottom>
      <diagonal/>
    </border>
    <border>
      <left style="thin">
        <color rgb="FFB0B0B0"/>
      </left>
      <right/>
      <top/>
      <bottom/>
      <diagonal/>
    </border>
    <border>
      <left style="thin">
        <color rgb="FFB0B0B0"/>
      </left>
      <right style="thin">
        <color rgb="FFB0B0B0"/>
      </right>
      <top style="thin">
        <color rgb="FFB0B0B0"/>
      </top>
      <bottom/>
      <diagonal/>
    </border>
    <border>
      <left style="thin">
        <color rgb="FFB0B0B0"/>
      </left>
      <right style="thin">
        <color rgb="FFB0B0B0"/>
      </right>
      <top/>
      <bottom style="thin">
        <color rgb="FFB0B0B0"/>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xf>
    <xf numFmtId="0" fontId="2" fillId="0" borderId="1" xfId="0" applyFont="1" applyBorder="1" applyAlignment="1">
      <alignment horizontal="center"/>
    </xf>
    <xf numFmtId="0" fontId="2" fillId="3" borderId="2" xfId="0" applyFont="1" applyFill="1" applyBorder="1" applyAlignment="1">
      <alignment horizontal="center"/>
    </xf>
    <xf numFmtId="10" fontId="1" fillId="2" borderId="0" xfId="0" applyNumberFormat="1" applyFont="1" applyFill="1" applyAlignment="1">
      <alignment horizontal="center" vertical="center" wrapText="1"/>
    </xf>
    <xf numFmtId="10" fontId="0" fillId="0" borderId="0" xfId="0" applyNumberFormat="1"/>
    <xf numFmtId="14" fontId="1" fillId="2" borderId="0" xfId="0" applyNumberFormat="1" applyFont="1" applyFill="1" applyAlignment="1">
      <alignment horizontal="center" vertical="center" wrapText="1"/>
    </xf>
    <xf numFmtId="14" fontId="2" fillId="3" borderId="1" xfId="0" applyNumberFormat="1" applyFont="1" applyFill="1" applyBorder="1" applyAlignment="1">
      <alignment horizontal="center"/>
    </xf>
    <xf numFmtId="14" fontId="2" fillId="0" borderId="1" xfId="0" applyNumberFormat="1" applyFont="1" applyBorder="1" applyAlignment="1">
      <alignment horizontal="center"/>
    </xf>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3" borderId="3" xfId="0" applyFont="1" applyFill="1" applyBorder="1" applyAlignment="1">
      <alignment horizontal="center"/>
    </xf>
    <xf numFmtId="0" fontId="5" fillId="0" borderId="1" xfId="0" applyFont="1" applyBorder="1" applyAlignment="1">
      <alignment horizontal="center"/>
    </xf>
    <xf numFmtId="0" fontId="4" fillId="3" borderId="1" xfId="0" applyFont="1" applyFill="1" applyBorder="1" applyAlignment="1">
      <alignment horizontal="center"/>
    </xf>
    <xf numFmtId="0" fontId="4" fillId="3" borderId="4" xfId="0" applyFont="1" applyFill="1" applyBorder="1" applyAlignment="1">
      <alignment horizontal="center"/>
    </xf>
    <xf numFmtId="0" fontId="3" fillId="2" borderId="0" xfId="0" applyFont="1" applyFill="1" applyAlignment="1">
      <alignment horizontal="center" vertical="center" wrapText="1"/>
    </xf>
    <xf numFmtId="0" fontId="4" fillId="3" borderId="3" xfId="0" applyFont="1" applyFill="1" applyBorder="1" applyAlignment="1">
      <alignment horizontal="center"/>
    </xf>
    <xf numFmtId="0" fontId="6" fillId="0" borderId="0" xfId="0" applyFont="1"/>
  </cellXfs>
  <cellStyles count="1">
    <cellStyle name="Normal" xfId="0" builtinId="0"/>
  </cellStyles>
  <dxfs count="40">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border outline="0">
        <bottom style="thin">
          <color rgb="FFB0B0B0"/>
        </bottom>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dxf>
    <dxf>
      <font>
        <b/>
        <i val="0"/>
        <strike val="0"/>
        <condense val="0"/>
        <extend val="0"/>
        <outline val="0"/>
        <shadow val="0"/>
        <u val="none"/>
        <vertAlign val="baseline"/>
        <sz val="10"/>
        <color rgb="FFFFFFFF"/>
        <name val="Arial"/>
        <charset val="1"/>
        <scheme val="none"/>
      </font>
      <fill>
        <patternFill patternType="solid">
          <fgColor rgb="FF003366"/>
          <bgColor rgb="FF1F4E79"/>
        </patternFill>
      </fill>
      <alignment horizontal="center" vertical="center" textRotation="0" wrapText="1"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numFmt numFmtId="0" formatCode="General"/>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auto="1"/>
        <name val="Arial"/>
        <charset val="1"/>
        <scheme val="none"/>
      </font>
      <fill>
        <patternFill patternType="solid">
          <fgColor rgb="FFCCFFFF"/>
          <bgColor rgb="FFD6E4F0"/>
        </patternFill>
      </fill>
      <alignment horizontal="center" vertical="bottom" textRotation="0" wrapText="0" indent="0" justifyLastLine="0" shrinkToFit="0" readingOrder="0"/>
    </dxf>
    <dxf>
      <font>
        <b/>
        <i val="0"/>
        <strike val="0"/>
        <condense val="0"/>
        <extend val="0"/>
        <outline val="0"/>
        <shadow val="0"/>
        <u val="none"/>
        <vertAlign val="baseline"/>
        <sz val="10"/>
        <color rgb="FFFFFFFF"/>
        <name val="Arial"/>
        <charset val="1"/>
        <scheme val="none"/>
      </font>
      <fill>
        <patternFill patternType="solid">
          <fgColor rgb="FF003366"/>
          <bgColor rgb="FF1F4E79"/>
        </patternFill>
      </fill>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oneCell">
    <xdr:from>
      <xdr:col>5</xdr:col>
      <xdr:colOff>133350</xdr:colOff>
      <xdr:row>2</xdr:row>
      <xdr:rowOff>0</xdr:rowOff>
    </xdr:from>
    <xdr:to>
      <xdr:col>8</xdr:col>
      <xdr:colOff>447675</xdr:colOff>
      <xdr:row>15</xdr:row>
      <xdr:rowOff>47625</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B10F684C-1470-1A94-62C2-86639A0DF70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829175" y="381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457200</xdr:colOff>
      <xdr:row>1</xdr:row>
      <xdr:rowOff>180975</xdr:rowOff>
    </xdr:from>
    <xdr:to>
      <xdr:col>12</xdr:col>
      <xdr:colOff>266700</xdr:colOff>
      <xdr:row>15</xdr:row>
      <xdr:rowOff>38100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2F6CA5BD-C9AB-6613-895C-8642F0DABB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67500" y="371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 chandran" refreshedDate="46094.470148379631" createdVersion="8" refreshedVersion="8" minRefreshableVersion="3" recordCount="45" xr:uid="{797C62C2-E8C0-46B4-B418-495507CA3D41}">
  <cacheSource type="worksheet">
    <worksheetSource name="Table1"/>
  </cacheSource>
  <cacheFields count="9">
    <cacheField name="Product" numFmtId="2">
      <sharedItems count="15">
        <s v="Surf Excel 1kg"/>
        <s v="Surf Excel 500g"/>
        <s v="Vim Bar 200g"/>
        <s v="Vim Liquid 500ml"/>
        <s v="Lux Soap 100g"/>
        <s v="Lifebuoy 125g"/>
        <s v="Dove Shampoo 180ml"/>
        <s v="Sunsilk Shampoo 180ml"/>
        <s v="Vaseline 100ml"/>
        <s v="Clinic Plus 80ml"/>
        <s v="Rin Powder 1kg"/>
        <s v="Comfort 200ml"/>
        <s v="Pepsodent 150g"/>
        <s v="Close Up 80g"/>
        <s v="Kissan Ketchup 500g"/>
      </sharedItems>
    </cacheField>
    <cacheField name="01-01-2025" numFmtId="2">
      <sharedItems containsSemiMixedTypes="0" containsString="0" containsNumber="1" minValue="810" maxValue="14589.666666666666" count="45">
        <n v="4946.666666666667"/>
        <n v="4418"/>
        <n v="4764.666666666667"/>
        <n v="8273.3333333333339"/>
        <n v="7562"/>
        <n v="8192.6666666666661"/>
        <n v="12287.666666666666"/>
        <n v="9737.3333333333339"/>
        <n v="10959.333333333334"/>
        <n v="3793"/>
        <n v="3357"/>
        <n v="3627.6666666666665"/>
        <n v="14589.666666666666"/>
        <n v="12122"/>
        <n v="13605.333333333334"/>
        <n v="13765"/>
        <n v="11862.666666666666"/>
        <n v="13030.666666666666"/>
        <n v="2247"/>
        <n v="1877.3333333333333"/>
        <n v="1890.6666666666667"/>
        <n v="2597"/>
        <n v="2286.3333333333335"/>
        <n v="2475.6666666666665"/>
        <n v="3385"/>
        <n v="2859"/>
        <n v="3244.3333333333335"/>
        <n v="4435.333333333333"/>
        <n v="3681.6666666666665"/>
        <n v="4336.333333333333"/>
        <n v="4733"/>
        <n v="3858.3333333333335"/>
        <n v="4508"/>
        <n v="1716.3333333333333"/>
        <n v="1428.3333333333333"/>
        <n v="1754.3333333333333"/>
        <n v="4646.333333333333"/>
        <n v="4191"/>
        <n v="4655"/>
        <n v="4873"/>
        <n v="3960.6666666666665"/>
        <n v="4606.666666666667"/>
        <n v="972.66666666666663"/>
        <n v="810"/>
        <n v="865.33333333333337"/>
      </sharedItems>
    </cacheField>
    <cacheField name="01-02-2025" numFmtId="2">
      <sharedItems containsSemiMixedTypes="0" containsString="0" containsNumber="1" minValue="818.66666666666663" maxValue="15173.222222222221" count="45">
        <n v="5214.2222222222226"/>
        <n v="4676.333333333333"/>
        <n v="4836.2222222222226"/>
        <n v="8436.4444444444453"/>
        <n v="7760.666666666667"/>
        <n v="8727.2222222222208"/>
        <n v="12551.222222222221"/>
        <n v="9957.1111111111113"/>
        <n v="11616.777777777779"/>
        <n v="3947"/>
        <n v="3434"/>
        <n v="3732.5555555555552"/>
        <n v="15173.222222222221"/>
        <n v="12062.666666666666"/>
        <n v="14321.111111111111"/>
        <n v="14162.666666666666"/>
        <n v="12446.222222222221"/>
        <n v="13397.888888888889"/>
        <n v="2283.6666666666665"/>
        <n v="1942.1111111111111"/>
        <n v="1963.5555555555557"/>
        <n v="2618.3333333333335"/>
        <n v="2412.1111111111113"/>
        <n v="2558.2222222222222"/>
        <n v="3503.3333333333335"/>
        <n v="3033.6666666666665"/>
        <n v="3375.7777777777778"/>
        <n v="4547.1111111111104"/>
        <n v="3719.5555555555552"/>
        <n v="4487.4444444444443"/>
        <n v="4805.666666666667"/>
        <n v="4061.4444444444448"/>
        <n v="4687.333333333333"/>
        <n v="1792.1111111111111"/>
        <n v="1463.1111111111111"/>
        <n v="1758.1111111111111"/>
        <n v="4784.4444444444443"/>
        <n v="4409.666666666667"/>
        <n v="4765.333333333333"/>
        <n v="4954.666666666667"/>
        <n v="4031.5555555555552"/>
        <n v="4698.2222222222226"/>
        <n v="980.8888888888888"/>
        <n v="818.66666666666663"/>
        <n v="880.1111111111112"/>
      </sharedItems>
    </cacheField>
    <cacheField name="01-03-2025" numFmtId="2">
      <sharedItems containsSemiMixedTypes="0" containsString="0" containsNumber="1" minValue="811.55555555555554" maxValue="14654.296296296294" count="44">
        <n v="5106.2962962962965"/>
        <n v="4733.7777777777774"/>
        <n v="4824.9629629629635"/>
        <n v="8486.2592592592609"/>
        <n v="7842.8888888888896"/>
        <n v="8672.9629629629617"/>
        <n v="12490.296296296294"/>
        <n v="9796.4814814814818"/>
        <n v="11375.370370370372"/>
        <n v="3898.6666666666665"/>
        <n v="3421"/>
        <n v="3752.4074074074069"/>
        <n v="14654.296296296294"/>
        <n v="12268.222222222221"/>
        <n v="14089.481481481482"/>
        <n v="13782.222222222221"/>
        <n v="12369.296296296294"/>
        <n v="13370.851851851852"/>
        <n v="2306.5555555555552"/>
        <n v="2012.8148148148148"/>
        <n v="1968.7407407407409"/>
        <n v="2581.4444444444448"/>
        <n v="2471.4814814814818"/>
        <n v="2615.962962962963"/>
        <n v="3411.7777777777778"/>
        <n v="3072.8888888888887"/>
        <n v="3368.037037037037"/>
        <n v="4532.8148148148139"/>
        <n v="3689.4074074074069"/>
        <n v="4510.9259259259261"/>
        <n v="4838.5555555555557"/>
        <n v="4049.5925925925931"/>
        <n v="4804.4444444444443"/>
        <n v="1768.148148148148"/>
        <n v="1463.8148148148148"/>
        <n v="4795.5925925925922"/>
        <n v="4485.5555555555557"/>
        <n v="4807.1111111111104"/>
        <n v="5125.5555555555557"/>
        <n v="4131.4074074074069"/>
        <n v="4881.6296296296305"/>
        <n v="974.51851851851836"/>
        <n v="811.55555555555554"/>
        <n v="874.14814814814827"/>
      </sharedItems>
    </cacheField>
    <cacheField name="01-04-2025" numFmtId="2">
      <sharedItems containsSemiMixedTypes="0" containsString="0" containsNumber="1" minValue="813.40740740740739" maxValue="14805.728395061727" count="45">
        <n v="5089.0617283950623"/>
        <n v="4609.3703703703695"/>
        <n v="4808.617283950618"/>
        <n v="8398.6790123456813"/>
        <n v="7721.8518518518531"/>
        <n v="8530.9506172839483"/>
        <n v="12443.061728395061"/>
        <n v="9830.308641975309"/>
        <n v="11317.160493827163"/>
        <n v="3879.5555555555552"/>
        <n v="3404"/>
        <n v="3704.2098765432092"/>
        <n v="14805.728395061727"/>
        <n v="12150.962962962962"/>
        <n v="14005.308641975309"/>
        <n v="13903.296296296294"/>
        <n v="12226.061728395061"/>
        <n v="13266.46913580247"/>
        <n v="2279.0740740740735"/>
        <n v="1944.0864197530864"/>
        <n v="1940.9876543209878"/>
        <n v="2598.9259259259265"/>
        <n v="2389.9753086419755"/>
        <n v="2549.9506172839506"/>
        <n v="3433.3703703703704"/>
        <n v="2988.5185185185182"/>
        <n v="3329.3827160493825"/>
        <n v="4505.0864197530855"/>
        <n v="3696.8765432098758"/>
        <n v="4444.9012345679012"/>
        <n v="4792.4074074074078"/>
        <n v="3989.7901234567908"/>
        <n v="4666.5925925925922"/>
        <n v="1758.864197530864"/>
        <n v="1451.7530864197531"/>
        <n v="1760.1975308641975"/>
        <n v="4742.1234567901229"/>
        <n v="4362.0740740740739"/>
        <n v="4742.4814814814808"/>
        <n v="4984.4074074074078"/>
        <n v="4041.2098765432092"/>
        <n v="4728.8395061728406"/>
        <n v="976.0246913580246"/>
        <n v="813.40740740740739"/>
        <n v="873.19753086419769"/>
      </sharedItems>
    </cacheField>
    <cacheField name="01-05-2025" numFmtId="2">
      <sharedItems containsSemiMixedTypes="0" containsString="0" containsNumber="1" minValue="814.54320987654319" maxValue="14877.748971193412" count="45">
        <n v="5136.5267489711941"/>
        <n v="4673.1604938271594"/>
        <n v="4823.267489711935"/>
        <n v="8440.460905349797"/>
        <n v="7775.1358024691363"/>
        <n v="8643.7119341563757"/>
        <n v="12494.860082304525"/>
        <n v="9861.300411522634"/>
        <n v="11436.436213991772"/>
        <n v="3908.4074074074069"/>
        <n v="3419.6666666666665"/>
        <n v="3729.7242798353905"/>
        <n v="14877.748971193412"/>
        <n v="12160.617283950616"/>
        <n v="14138.633744855966"/>
        <n v="13949.395061728394"/>
        <n v="12347.193415637857"/>
        <n v="13345.069958847736"/>
        <n v="2289.7654320987654"/>
        <n v="1966.3374485596707"/>
        <n v="1957.7613168724281"/>
        <n v="2599.5679012345681"/>
        <n v="2424.5226337448562"/>
        <n v="2574.7119341563789"/>
        <n v="3449.4938271604938"/>
        <n v="3031.691358024691"/>
        <n v="3357.7325102880659"/>
        <n v="4528.3374485596696"/>
        <n v="3701.9465020576122"/>
        <n v="4481.0905349794239"/>
        <n v="4812.2098765432102"/>
        <n v="4033.609053497943"/>
        <n v="4719.4567901234559"/>
        <n v="1773.0411522633742"/>
        <n v="1459.5596707818931"/>
        <n v="1762.1522633744855"/>
        <n v="4774.0534979423865"/>
        <n v="4419.0987654320988"/>
        <n v="4771.6419753086411"/>
        <n v="5021.5432098765441"/>
        <n v="4068.0576131687235"/>
        <n v="4769.5637860082315"/>
        <n v="977.14403292181066"/>
        <n v="814.54320987654319"/>
        <n v="875.81893004115238"/>
      </sharedItems>
    </cacheField>
    <cacheField name="01-06-2025" numFmtId="2">
      <sharedItems containsSemiMixedTypes="0" containsString="0" containsNumber="1" minValue="813.16872427983537" maxValue="14779.257887517144" count="45">
        <n v="5110.628257887518"/>
        <n v="4672.1028806584354"/>
        <n v="4818.9492455418394"/>
        <n v="8441.799725651581"/>
        <n v="7779.9588477366269"/>
        <n v="8615.8751714677619"/>
        <n v="12476.072702331961"/>
        <n v="9829.3635116598089"/>
        <n v="11376.322359396436"/>
        <n v="3895.5432098765427"/>
        <n v="3414.8888888888887"/>
        <n v="3728.7805212620024"/>
        <n v="14779.257887517144"/>
        <n v="12193.267489711934"/>
        <n v="14077.807956104252"/>
        <n v="13878.304526748971"/>
        <n v="12314.183813443071"/>
        <n v="13327.463648834018"/>
        <n v="2291.7983539094644"/>
        <n v="1974.4128943758571"/>
        <n v="1955.8299039780522"/>
        <n v="2593.3127572016465"/>
        <n v="2428.6598079561045"/>
        <n v="2580.2085048010977"/>
        <n v="3431.5473251028802"/>
        <n v="3031.0329218106995"/>
        <n v="3351.7174211248289"/>
        <n v="4522.079561042523"/>
        <n v="3696.076817558298"/>
        <n v="4478.9725651577501"/>
        <n v="4814.3909465020579"/>
        <n v="4024.3305898491089"/>
        <n v="4730.1646090534969"/>
        <n v="1766.6844993141287"/>
        <n v="1458.3758573388204"/>
        <n v="1763.4993141289435"/>
        <n v="4770.5898491083672"/>
        <n v="4422.2427983539092"/>
        <n v="4773.7448559670775"/>
        <n v="5043.8353909465031"/>
        <n v="4080.2249657064463"/>
        <n v="4793.3443072702348"/>
        <n v="975.89574759945117"/>
        <n v="813.16872427983537"/>
        <n v="874.38820301783278"/>
      </sharedItems>
    </cacheField>
    <cacheField name="region" numFmtId="0">
      <sharedItems count="3">
        <s v="North"/>
        <s v="South"/>
        <s v="West"/>
      </sharedItems>
    </cacheField>
    <cacheField name="forecast" numFmtId="0">
      <sharedItems containsNonDate="0" containsString="0" containsBlank="1"/>
    </cacheField>
  </cacheFields>
  <extLst>
    <ext xmlns:x14="http://schemas.microsoft.com/office/spreadsheetml/2009/9/main" uri="{725AE2AE-9491-48be-B2B4-4EB974FC3084}">
      <x14:pivotCacheDefinition pivotCacheId="160907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x v="0"/>
    <x v="0"/>
    <x v="0"/>
    <x v="0"/>
    <x v="0"/>
    <x v="0"/>
    <x v="0"/>
    <x v="0"/>
    <m/>
  </r>
  <r>
    <x v="0"/>
    <x v="1"/>
    <x v="1"/>
    <x v="1"/>
    <x v="1"/>
    <x v="1"/>
    <x v="1"/>
    <x v="1"/>
    <m/>
  </r>
  <r>
    <x v="0"/>
    <x v="2"/>
    <x v="2"/>
    <x v="2"/>
    <x v="2"/>
    <x v="2"/>
    <x v="2"/>
    <x v="2"/>
    <m/>
  </r>
  <r>
    <x v="1"/>
    <x v="3"/>
    <x v="3"/>
    <x v="3"/>
    <x v="3"/>
    <x v="3"/>
    <x v="3"/>
    <x v="0"/>
    <m/>
  </r>
  <r>
    <x v="1"/>
    <x v="4"/>
    <x v="4"/>
    <x v="4"/>
    <x v="4"/>
    <x v="4"/>
    <x v="4"/>
    <x v="1"/>
    <m/>
  </r>
  <r>
    <x v="1"/>
    <x v="5"/>
    <x v="5"/>
    <x v="5"/>
    <x v="5"/>
    <x v="5"/>
    <x v="5"/>
    <x v="2"/>
    <m/>
  </r>
  <r>
    <x v="2"/>
    <x v="6"/>
    <x v="6"/>
    <x v="6"/>
    <x v="6"/>
    <x v="6"/>
    <x v="6"/>
    <x v="0"/>
    <m/>
  </r>
  <r>
    <x v="2"/>
    <x v="7"/>
    <x v="7"/>
    <x v="7"/>
    <x v="7"/>
    <x v="7"/>
    <x v="7"/>
    <x v="1"/>
    <m/>
  </r>
  <r>
    <x v="2"/>
    <x v="8"/>
    <x v="8"/>
    <x v="8"/>
    <x v="8"/>
    <x v="8"/>
    <x v="8"/>
    <x v="2"/>
    <m/>
  </r>
  <r>
    <x v="3"/>
    <x v="9"/>
    <x v="9"/>
    <x v="9"/>
    <x v="9"/>
    <x v="9"/>
    <x v="9"/>
    <x v="0"/>
    <m/>
  </r>
  <r>
    <x v="3"/>
    <x v="10"/>
    <x v="10"/>
    <x v="10"/>
    <x v="10"/>
    <x v="10"/>
    <x v="10"/>
    <x v="1"/>
    <m/>
  </r>
  <r>
    <x v="3"/>
    <x v="11"/>
    <x v="11"/>
    <x v="11"/>
    <x v="11"/>
    <x v="11"/>
    <x v="11"/>
    <x v="2"/>
    <m/>
  </r>
  <r>
    <x v="4"/>
    <x v="12"/>
    <x v="12"/>
    <x v="12"/>
    <x v="12"/>
    <x v="12"/>
    <x v="12"/>
    <x v="0"/>
    <m/>
  </r>
  <r>
    <x v="4"/>
    <x v="13"/>
    <x v="13"/>
    <x v="13"/>
    <x v="13"/>
    <x v="13"/>
    <x v="13"/>
    <x v="1"/>
    <m/>
  </r>
  <r>
    <x v="4"/>
    <x v="14"/>
    <x v="14"/>
    <x v="14"/>
    <x v="14"/>
    <x v="14"/>
    <x v="14"/>
    <x v="2"/>
    <m/>
  </r>
  <r>
    <x v="5"/>
    <x v="15"/>
    <x v="15"/>
    <x v="15"/>
    <x v="15"/>
    <x v="15"/>
    <x v="15"/>
    <x v="0"/>
    <m/>
  </r>
  <r>
    <x v="5"/>
    <x v="16"/>
    <x v="16"/>
    <x v="16"/>
    <x v="16"/>
    <x v="16"/>
    <x v="16"/>
    <x v="1"/>
    <m/>
  </r>
  <r>
    <x v="5"/>
    <x v="17"/>
    <x v="17"/>
    <x v="17"/>
    <x v="17"/>
    <x v="17"/>
    <x v="17"/>
    <x v="2"/>
    <m/>
  </r>
  <r>
    <x v="6"/>
    <x v="18"/>
    <x v="18"/>
    <x v="18"/>
    <x v="18"/>
    <x v="18"/>
    <x v="18"/>
    <x v="0"/>
    <m/>
  </r>
  <r>
    <x v="6"/>
    <x v="19"/>
    <x v="19"/>
    <x v="19"/>
    <x v="19"/>
    <x v="19"/>
    <x v="19"/>
    <x v="1"/>
    <m/>
  </r>
  <r>
    <x v="6"/>
    <x v="20"/>
    <x v="20"/>
    <x v="20"/>
    <x v="20"/>
    <x v="20"/>
    <x v="20"/>
    <x v="2"/>
    <m/>
  </r>
  <r>
    <x v="7"/>
    <x v="21"/>
    <x v="21"/>
    <x v="21"/>
    <x v="21"/>
    <x v="21"/>
    <x v="21"/>
    <x v="0"/>
    <m/>
  </r>
  <r>
    <x v="7"/>
    <x v="22"/>
    <x v="22"/>
    <x v="22"/>
    <x v="22"/>
    <x v="22"/>
    <x v="22"/>
    <x v="1"/>
    <m/>
  </r>
  <r>
    <x v="7"/>
    <x v="23"/>
    <x v="23"/>
    <x v="23"/>
    <x v="23"/>
    <x v="23"/>
    <x v="23"/>
    <x v="2"/>
    <m/>
  </r>
  <r>
    <x v="8"/>
    <x v="24"/>
    <x v="24"/>
    <x v="24"/>
    <x v="24"/>
    <x v="24"/>
    <x v="24"/>
    <x v="0"/>
    <m/>
  </r>
  <r>
    <x v="8"/>
    <x v="25"/>
    <x v="25"/>
    <x v="25"/>
    <x v="25"/>
    <x v="25"/>
    <x v="25"/>
    <x v="1"/>
    <m/>
  </r>
  <r>
    <x v="8"/>
    <x v="26"/>
    <x v="26"/>
    <x v="26"/>
    <x v="26"/>
    <x v="26"/>
    <x v="26"/>
    <x v="2"/>
    <m/>
  </r>
  <r>
    <x v="9"/>
    <x v="27"/>
    <x v="27"/>
    <x v="27"/>
    <x v="27"/>
    <x v="27"/>
    <x v="27"/>
    <x v="0"/>
    <m/>
  </r>
  <r>
    <x v="9"/>
    <x v="28"/>
    <x v="28"/>
    <x v="28"/>
    <x v="28"/>
    <x v="28"/>
    <x v="28"/>
    <x v="1"/>
    <m/>
  </r>
  <r>
    <x v="9"/>
    <x v="29"/>
    <x v="29"/>
    <x v="29"/>
    <x v="29"/>
    <x v="29"/>
    <x v="29"/>
    <x v="2"/>
    <m/>
  </r>
  <r>
    <x v="10"/>
    <x v="30"/>
    <x v="30"/>
    <x v="30"/>
    <x v="30"/>
    <x v="30"/>
    <x v="30"/>
    <x v="0"/>
    <m/>
  </r>
  <r>
    <x v="10"/>
    <x v="31"/>
    <x v="31"/>
    <x v="31"/>
    <x v="31"/>
    <x v="31"/>
    <x v="31"/>
    <x v="1"/>
    <m/>
  </r>
  <r>
    <x v="10"/>
    <x v="32"/>
    <x v="32"/>
    <x v="32"/>
    <x v="32"/>
    <x v="32"/>
    <x v="32"/>
    <x v="2"/>
    <m/>
  </r>
  <r>
    <x v="11"/>
    <x v="33"/>
    <x v="33"/>
    <x v="33"/>
    <x v="33"/>
    <x v="33"/>
    <x v="33"/>
    <x v="0"/>
    <m/>
  </r>
  <r>
    <x v="11"/>
    <x v="34"/>
    <x v="34"/>
    <x v="34"/>
    <x v="34"/>
    <x v="34"/>
    <x v="34"/>
    <x v="1"/>
    <m/>
  </r>
  <r>
    <x v="11"/>
    <x v="35"/>
    <x v="35"/>
    <x v="33"/>
    <x v="35"/>
    <x v="35"/>
    <x v="35"/>
    <x v="2"/>
    <m/>
  </r>
  <r>
    <x v="12"/>
    <x v="36"/>
    <x v="36"/>
    <x v="35"/>
    <x v="36"/>
    <x v="36"/>
    <x v="36"/>
    <x v="0"/>
    <m/>
  </r>
  <r>
    <x v="12"/>
    <x v="37"/>
    <x v="37"/>
    <x v="36"/>
    <x v="37"/>
    <x v="37"/>
    <x v="37"/>
    <x v="1"/>
    <m/>
  </r>
  <r>
    <x v="12"/>
    <x v="38"/>
    <x v="38"/>
    <x v="37"/>
    <x v="38"/>
    <x v="38"/>
    <x v="38"/>
    <x v="2"/>
    <m/>
  </r>
  <r>
    <x v="13"/>
    <x v="39"/>
    <x v="39"/>
    <x v="38"/>
    <x v="39"/>
    <x v="39"/>
    <x v="39"/>
    <x v="0"/>
    <m/>
  </r>
  <r>
    <x v="13"/>
    <x v="40"/>
    <x v="40"/>
    <x v="39"/>
    <x v="40"/>
    <x v="40"/>
    <x v="40"/>
    <x v="1"/>
    <m/>
  </r>
  <r>
    <x v="13"/>
    <x v="41"/>
    <x v="41"/>
    <x v="40"/>
    <x v="41"/>
    <x v="41"/>
    <x v="41"/>
    <x v="2"/>
    <m/>
  </r>
  <r>
    <x v="14"/>
    <x v="42"/>
    <x v="42"/>
    <x v="41"/>
    <x v="42"/>
    <x v="42"/>
    <x v="42"/>
    <x v="0"/>
    <m/>
  </r>
  <r>
    <x v="14"/>
    <x v="43"/>
    <x v="43"/>
    <x v="42"/>
    <x v="43"/>
    <x v="43"/>
    <x v="43"/>
    <x v="1"/>
    <m/>
  </r>
  <r>
    <x v="14"/>
    <x v="44"/>
    <x v="44"/>
    <x v="43"/>
    <x v="44"/>
    <x v="44"/>
    <x v="44"/>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F85A5C-D162-4A7C-80AC-23C9985487B5}" name="Demand-Pivot"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6" firstHeaderRow="1" firstDataRow="2" firstDataCol="1"/>
  <pivotFields count="9">
    <pivotField axis="axisRow" showAll="0">
      <items count="16">
        <item x="9"/>
        <item x="13"/>
        <item x="11"/>
        <item x="6"/>
        <item x="14"/>
        <item x="5"/>
        <item x="4"/>
        <item x="12"/>
        <item x="10"/>
        <item x="7"/>
        <item x="0"/>
        <item x="1"/>
        <item x="8"/>
        <item x="2"/>
        <item x="3"/>
        <item t="default"/>
      </items>
    </pivotField>
    <pivotField dataField="1" numFmtId="2" showAll="0">
      <items count="46">
        <item x="43"/>
        <item x="44"/>
        <item x="42"/>
        <item x="34"/>
        <item x="33"/>
        <item x="35"/>
        <item x="19"/>
        <item x="20"/>
        <item x="18"/>
        <item x="22"/>
        <item x="23"/>
        <item x="21"/>
        <item x="25"/>
        <item x="26"/>
        <item x="10"/>
        <item x="24"/>
        <item x="11"/>
        <item x="28"/>
        <item x="9"/>
        <item x="31"/>
        <item x="40"/>
        <item x="37"/>
        <item x="29"/>
        <item x="1"/>
        <item x="27"/>
        <item x="32"/>
        <item x="41"/>
        <item x="36"/>
        <item x="38"/>
        <item x="30"/>
        <item x="2"/>
        <item x="39"/>
        <item x="0"/>
        <item x="4"/>
        <item x="5"/>
        <item x="3"/>
        <item x="7"/>
        <item x="8"/>
        <item x="16"/>
        <item x="13"/>
        <item x="6"/>
        <item x="17"/>
        <item x="14"/>
        <item x="15"/>
        <item x="12"/>
        <item t="default"/>
      </items>
    </pivotField>
    <pivotField dataField="1" numFmtId="2" showAll="0">
      <items count="46">
        <item x="43"/>
        <item x="44"/>
        <item x="42"/>
        <item x="34"/>
        <item x="35"/>
        <item x="33"/>
        <item x="19"/>
        <item x="20"/>
        <item x="18"/>
        <item x="22"/>
        <item x="23"/>
        <item x="21"/>
        <item x="25"/>
        <item x="26"/>
        <item x="10"/>
        <item x="24"/>
        <item x="28"/>
        <item x="11"/>
        <item x="9"/>
        <item x="40"/>
        <item x="31"/>
        <item x="37"/>
        <item x="29"/>
        <item x="27"/>
        <item x="1"/>
        <item x="32"/>
        <item x="41"/>
        <item x="38"/>
        <item x="36"/>
        <item x="30"/>
        <item x="2"/>
        <item x="39"/>
        <item x="0"/>
        <item x="4"/>
        <item x="3"/>
        <item x="5"/>
        <item x="7"/>
        <item x="8"/>
        <item x="13"/>
        <item x="16"/>
        <item x="6"/>
        <item x="17"/>
        <item x="15"/>
        <item x="14"/>
        <item x="12"/>
        <item t="default"/>
      </items>
    </pivotField>
    <pivotField dataField="1" numFmtId="2" showAll="0">
      <items count="45">
        <item x="42"/>
        <item x="43"/>
        <item x="41"/>
        <item x="34"/>
        <item x="33"/>
        <item x="20"/>
        <item x="19"/>
        <item x="18"/>
        <item x="22"/>
        <item x="21"/>
        <item x="23"/>
        <item x="25"/>
        <item x="26"/>
        <item x="24"/>
        <item x="10"/>
        <item x="28"/>
        <item x="11"/>
        <item x="9"/>
        <item x="31"/>
        <item x="39"/>
        <item x="36"/>
        <item x="29"/>
        <item x="27"/>
        <item x="1"/>
        <item x="35"/>
        <item x="32"/>
        <item x="37"/>
        <item x="2"/>
        <item x="30"/>
        <item x="40"/>
        <item x="0"/>
        <item x="38"/>
        <item x="4"/>
        <item x="3"/>
        <item x="5"/>
        <item x="7"/>
        <item x="8"/>
        <item x="13"/>
        <item x="16"/>
        <item x="6"/>
        <item x="17"/>
        <item x="15"/>
        <item x="14"/>
        <item x="12"/>
        <item t="default"/>
      </items>
    </pivotField>
    <pivotField dataField="1" numFmtId="2" showAll="0">
      <items count="46">
        <item x="43"/>
        <item x="44"/>
        <item x="42"/>
        <item x="34"/>
        <item x="33"/>
        <item x="35"/>
        <item x="20"/>
        <item x="19"/>
        <item x="18"/>
        <item x="22"/>
        <item x="23"/>
        <item x="21"/>
        <item x="25"/>
        <item x="26"/>
        <item x="10"/>
        <item x="24"/>
        <item x="28"/>
        <item x="11"/>
        <item x="9"/>
        <item x="31"/>
        <item x="40"/>
        <item x="37"/>
        <item x="29"/>
        <item x="27"/>
        <item x="1"/>
        <item x="32"/>
        <item x="41"/>
        <item x="36"/>
        <item x="38"/>
        <item x="30"/>
        <item x="2"/>
        <item x="39"/>
        <item x="0"/>
        <item x="4"/>
        <item x="3"/>
        <item x="5"/>
        <item x="7"/>
        <item x="8"/>
        <item x="13"/>
        <item x="16"/>
        <item x="6"/>
        <item x="17"/>
        <item x="15"/>
        <item x="14"/>
        <item x="12"/>
        <item t="default"/>
      </items>
    </pivotField>
    <pivotField dataField="1" numFmtId="2" showAll="0">
      <items count="46">
        <item x="43"/>
        <item x="44"/>
        <item x="42"/>
        <item x="34"/>
        <item x="35"/>
        <item x="33"/>
        <item x="20"/>
        <item x="19"/>
        <item x="18"/>
        <item x="22"/>
        <item x="23"/>
        <item x="21"/>
        <item x="25"/>
        <item x="26"/>
        <item x="10"/>
        <item x="24"/>
        <item x="28"/>
        <item x="11"/>
        <item x="9"/>
        <item x="31"/>
        <item x="40"/>
        <item x="37"/>
        <item x="29"/>
        <item x="27"/>
        <item x="1"/>
        <item x="32"/>
        <item x="41"/>
        <item x="38"/>
        <item x="36"/>
        <item x="30"/>
        <item x="2"/>
        <item x="39"/>
        <item x="0"/>
        <item x="4"/>
        <item x="3"/>
        <item x="5"/>
        <item x="7"/>
        <item x="8"/>
        <item x="13"/>
        <item x="16"/>
        <item x="6"/>
        <item x="17"/>
        <item x="15"/>
        <item x="14"/>
        <item x="12"/>
        <item t="default"/>
      </items>
    </pivotField>
    <pivotField dataField="1" numFmtId="2" showAll="0">
      <items count="46">
        <item x="43"/>
        <item x="44"/>
        <item x="42"/>
        <item x="34"/>
        <item x="35"/>
        <item x="33"/>
        <item x="20"/>
        <item x="19"/>
        <item x="18"/>
        <item x="22"/>
        <item x="23"/>
        <item x="21"/>
        <item x="25"/>
        <item x="26"/>
        <item x="10"/>
        <item x="24"/>
        <item x="28"/>
        <item x="11"/>
        <item x="9"/>
        <item x="31"/>
        <item x="40"/>
        <item x="37"/>
        <item x="29"/>
        <item x="27"/>
        <item x="1"/>
        <item x="32"/>
        <item x="36"/>
        <item x="38"/>
        <item x="41"/>
        <item x="30"/>
        <item x="2"/>
        <item x="39"/>
        <item x="0"/>
        <item x="4"/>
        <item x="3"/>
        <item x="5"/>
        <item x="7"/>
        <item x="8"/>
        <item x="13"/>
        <item x="16"/>
        <item x="6"/>
        <item x="17"/>
        <item x="15"/>
        <item x="14"/>
        <item x="12"/>
        <item t="default"/>
      </items>
    </pivotField>
    <pivotField axis="axisCol" showAll="0">
      <items count="4">
        <item x="0"/>
        <item x="1"/>
        <item x="2"/>
        <item t="default"/>
      </items>
    </pivotField>
    <pivotField showAll="0"/>
  </pivotFields>
  <rowFields count="2">
    <field x="-2"/>
    <field x="0"/>
  </rowFields>
  <rowItems count="102">
    <i>
      <x/>
    </i>
    <i r="1">
      <x/>
    </i>
    <i r="1">
      <x v="1"/>
    </i>
    <i r="1">
      <x v="2"/>
    </i>
    <i r="1">
      <x v="3"/>
    </i>
    <i r="1">
      <x v="4"/>
    </i>
    <i r="1">
      <x v="5"/>
    </i>
    <i r="1">
      <x v="6"/>
    </i>
    <i r="1">
      <x v="7"/>
    </i>
    <i r="1">
      <x v="8"/>
    </i>
    <i r="1">
      <x v="9"/>
    </i>
    <i r="1">
      <x v="10"/>
    </i>
    <i r="1">
      <x v="11"/>
    </i>
    <i r="1">
      <x v="12"/>
    </i>
    <i r="1">
      <x v="13"/>
    </i>
    <i r="1">
      <x v="14"/>
    </i>
    <i i="1">
      <x v="1"/>
    </i>
    <i r="1" i="1">
      <x/>
    </i>
    <i r="1" i="1">
      <x v="1"/>
    </i>
    <i r="1" i="1">
      <x v="2"/>
    </i>
    <i r="1" i="1">
      <x v="3"/>
    </i>
    <i r="1" i="1">
      <x v="4"/>
    </i>
    <i r="1" i="1">
      <x v="5"/>
    </i>
    <i r="1" i="1">
      <x v="6"/>
    </i>
    <i r="1" i="1">
      <x v="7"/>
    </i>
    <i r="1" i="1">
      <x v="8"/>
    </i>
    <i r="1" i="1">
      <x v="9"/>
    </i>
    <i r="1" i="1">
      <x v="10"/>
    </i>
    <i r="1" i="1">
      <x v="11"/>
    </i>
    <i r="1" i="1">
      <x v="12"/>
    </i>
    <i r="1" i="1">
      <x v="13"/>
    </i>
    <i r="1" i="1">
      <x v="14"/>
    </i>
    <i i="2">
      <x v="2"/>
    </i>
    <i r="1" i="2">
      <x/>
    </i>
    <i r="1" i="2">
      <x v="1"/>
    </i>
    <i r="1" i="2">
      <x v="2"/>
    </i>
    <i r="1" i="2">
      <x v="3"/>
    </i>
    <i r="1" i="2">
      <x v="4"/>
    </i>
    <i r="1" i="2">
      <x v="5"/>
    </i>
    <i r="1" i="2">
      <x v="6"/>
    </i>
    <i r="1" i="2">
      <x v="7"/>
    </i>
    <i r="1" i="2">
      <x v="8"/>
    </i>
    <i r="1" i="2">
      <x v="9"/>
    </i>
    <i r="1" i="2">
      <x v="10"/>
    </i>
    <i r="1" i="2">
      <x v="11"/>
    </i>
    <i r="1" i="2">
      <x v="12"/>
    </i>
    <i r="1" i="2">
      <x v="13"/>
    </i>
    <i r="1" i="2">
      <x v="14"/>
    </i>
    <i i="3">
      <x v="3"/>
    </i>
    <i r="1" i="3">
      <x/>
    </i>
    <i r="1" i="3">
      <x v="1"/>
    </i>
    <i r="1" i="3">
      <x v="2"/>
    </i>
    <i r="1" i="3">
      <x v="3"/>
    </i>
    <i r="1" i="3">
      <x v="4"/>
    </i>
    <i r="1" i="3">
      <x v="5"/>
    </i>
    <i r="1" i="3">
      <x v="6"/>
    </i>
    <i r="1" i="3">
      <x v="7"/>
    </i>
    <i r="1" i="3">
      <x v="8"/>
    </i>
    <i r="1" i="3">
      <x v="9"/>
    </i>
    <i r="1" i="3">
      <x v="10"/>
    </i>
    <i r="1" i="3">
      <x v="11"/>
    </i>
    <i r="1" i="3">
      <x v="12"/>
    </i>
    <i r="1" i="3">
      <x v="13"/>
    </i>
    <i r="1" i="3">
      <x v="14"/>
    </i>
    <i i="4">
      <x v="4"/>
    </i>
    <i r="1" i="4">
      <x/>
    </i>
    <i r="1" i="4">
      <x v="1"/>
    </i>
    <i r="1" i="4">
      <x v="2"/>
    </i>
    <i r="1" i="4">
      <x v="3"/>
    </i>
    <i r="1" i="4">
      <x v="4"/>
    </i>
    <i r="1" i="4">
      <x v="5"/>
    </i>
    <i r="1" i="4">
      <x v="6"/>
    </i>
    <i r="1" i="4">
      <x v="7"/>
    </i>
    <i r="1" i="4">
      <x v="8"/>
    </i>
    <i r="1" i="4">
      <x v="9"/>
    </i>
    <i r="1" i="4">
      <x v="10"/>
    </i>
    <i r="1" i="4">
      <x v="11"/>
    </i>
    <i r="1" i="4">
      <x v="12"/>
    </i>
    <i r="1" i="4">
      <x v="13"/>
    </i>
    <i r="1" i="4">
      <x v="14"/>
    </i>
    <i i="5">
      <x v="5"/>
    </i>
    <i r="1" i="5">
      <x/>
    </i>
    <i r="1" i="5">
      <x v="1"/>
    </i>
    <i r="1" i="5">
      <x v="2"/>
    </i>
    <i r="1" i="5">
      <x v="3"/>
    </i>
    <i r="1" i="5">
      <x v="4"/>
    </i>
    <i r="1" i="5">
      <x v="5"/>
    </i>
    <i r="1" i="5">
      <x v="6"/>
    </i>
    <i r="1" i="5">
      <x v="7"/>
    </i>
    <i r="1" i="5">
      <x v="8"/>
    </i>
    <i r="1" i="5">
      <x v="9"/>
    </i>
    <i r="1" i="5">
      <x v="10"/>
    </i>
    <i r="1" i="5">
      <x v="11"/>
    </i>
    <i r="1" i="5">
      <x v="12"/>
    </i>
    <i r="1" i="5">
      <x v="13"/>
    </i>
    <i r="1" i="5">
      <x v="14"/>
    </i>
    <i t="grand">
      <x/>
    </i>
    <i t="grand" i="1">
      <x/>
    </i>
    <i t="grand" i="2">
      <x/>
    </i>
    <i t="grand" i="3">
      <x/>
    </i>
    <i t="grand" i="4">
      <x/>
    </i>
    <i t="grand" i="5">
      <x/>
    </i>
  </rowItems>
  <colFields count="1">
    <field x="7"/>
  </colFields>
  <colItems count="4">
    <i>
      <x/>
    </i>
    <i>
      <x v="1"/>
    </i>
    <i>
      <x v="2"/>
    </i>
    <i t="grand">
      <x/>
    </i>
  </colItems>
  <dataFields count="6">
    <dataField name=" 01-01-2025" fld="1" baseField="0" baseItem="0" numFmtId="2"/>
    <dataField name=" 01-02-2025" fld="2" baseField="0" baseItem="0" numFmtId="2"/>
    <dataField name=" 01-03-2025" fld="3" baseField="0" baseItem="0" numFmtId="2"/>
    <dataField name=" 01-04-2025" fld="4" baseField="0" baseItem="0" numFmtId="2"/>
    <dataField name=" 01-05-2025" fld="5" baseField="0" baseItem="0" numFmtId="2"/>
    <dataField name="01-06-2025" fld="6" baseField="0" baseItem="0" numFmtId="2"/>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F229F34-2897-4D9C-ACB6-E3A826F227D5}" sourceName="Product">
  <pivotTables>
    <pivotTable tabId="9" name="Demand-Pivot"/>
  </pivotTables>
  <data>
    <tabular pivotCacheId="160907951">
      <items count="15">
        <i x="9" s="1"/>
        <i x="13" s="1"/>
        <i x="11" s="1"/>
        <i x="6" s="1"/>
        <i x="14" s="1"/>
        <i x="5" s="1"/>
        <i x="4" s="1"/>
        <i x="12" s="1"/>
        <i x="10" s="1"/>
        <i x="7" s="1"/>
        <i x="0" s="1"/>
        <i x="1" s="1"/>
        <i x="8"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CDAFA2-3182-4E79-820D-55E3ADC03728}" sourceName="region">
  <pivotTables>
    <pivotTable tabId="9" name="Demand-Pivot"/>
  </pivotTables>
  <data>
    <tabular pivotCacheId="16090795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F5A461D-9EF2-4B3A-9E9D-0DAFE4A6D93E}" cache="Slicer_Product" caption="Product" style="SlicerStyleDark5" rowHeight="241300"/>
  <slicer name="region" xr10:uid="{33410AA0-0964-465C-AB16-F88F87745788}" cache="Slicer_region" caption="region"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89B057-5A46-4E9B-A55E-D4FCCCAE0B03}" name="Table2" displayName="Table2" ref="A1:T16" totalsRowShown="0" headerRowDxfId="39" dataDxfId="38">
  <autoFilter ref="A1:T16" xr:uid="{D589B057-5A46-4E9B-A55E-D4FCCCAE0B03}"/>
  <tableColumns count="20">
    <tableColumn id="1" xr3:uid="{6B9B8693-9E86-43B0-83B2-AFEF09063DA0}" name="SKU_ID" dataDxfId="37"/>
    <tableColumn id="2" xr3:uid="{78BD3073-A6AA-47D6-9A71-E702AA64A5BD}" name="Product_Name" dataDxfId="36"/>
    <tableColumn id="3" xr3:uid="{13A69372-B3B8-45B1-AE57-C21718AC261C}" name="Category" dataDxfId="35"/>
    <tableColumn id="4" xr3:uid="{9A4BAB0B-5BA3-48F5-81DA-B2CD0CC8A373}" name="Sub_Category" dataDxfId="34"/>
    <tableColumn id="5" xr3:uid="{C59F9DDF-BFCF-4CC1-8951-680C1A7C4C9A}" name="UOM" dataDxfId="33"/>
    <tableColumn id="6" xr3:uid="{7412A1E2-1D43-4184-8F4C-CEE91B90423D}" name="Unit_Cost_(INR)" dataDxfId="32"/>
    <tableColumn id="7" xr3:uid="{67D4DFB3-DF70-4860-8BF2-EAA0CA1F4058}" name="Selling_Price_(INR)" dataDxfId="31"/>
    <tableColumn id="8" xr3:uid="{90FBA6FA-4B53-4BBF-A51F-29C9C355F1AC}" name="Lead_Time_(Days)" dataDxfId="30"/>
    <tableColumn id="9" xr3:uid="{A6D25EFC-EDBA-4BE7-BAB0-301D021D50B6}" name="Min_Order_Qty" dataDxfId="29"/>
    <tableColumn id="10" xr3:uid="{FBD5B333-C4CC-440A-9922-34DE6B8A2226}" name="Shelf_Life_(Days)" dataDxfId="28"/>
    <tableColumn id="11" xr3:uid="{59E3612D-2E71-49B9-B132-2C5E05A5BFA7}" name="Storage_Type" dataDxfId="27"/>
    <tableColumn id="12" xr3:uid="{BC1EE26D-1E3C-408A-96CD-9C9C5CA1DC58}" name="Status" dataDxfId="26"/>
    <tableColumn id="13" xr3:uid="{1CF17E82-0AC3-4600-92F7-B638842419E9}" name="Holding cost" dataDxfId="25">
      <calculatedColumnFormula>0.2*F2</calculatedColumnFormula>
    </tableColumn>
    <tableColumn id="14" xr3:uid="{AFF95988-E34D-4E94-86FE-AC515E93E296}" name="Ordering cost"/>
    <tableColumn id="15" xr3:uid="{C632D70B-9715-4DEB-B60E-A4B7EB88708D}" name="Annual demand" dataDxfId="24">
      <calculatedColumnFormula>SUMIFS(Demand_Data!H2:H1081,Demand_Data!B2:B1081,Table2[[#This Row],[SKU_ID]],Demand_Data!F2:F1081,2024)</calculatedColumnFormula>
    </tableColumn>
    <tableColumn id="16" xr3:uid="{88358870-A87A-48A2-B930-FC1D96757C53}" name="EOQ" dataDxfId="23">
      <calculatedColumnFormula>((2*Table2[[#This Row],[Annual demand]]*Table2[[#This Row],[Ordering cost]])/Table2[[#This Row],[Holding cost]])^(1/2)</calculatedColumnFormula>
    </tableColumn>
    <tableColumn id="17" xr3:uid="{04A7F180-A226-435B-9A0B-660B11060EBB}" name="Std_Dev" dataDxfId="22">
      <calculatedColumnFormula>STDEV(Demand_Data!B2:B1081,Table2[[#This Row],[SKU_ID]],Demand_Data!H2:H1081)</calculatedColumnFormula>
    </tableColumn>
    <tableColumn id="18" xr3:uid="{6FFBF3C0-40A6-41F4-910D-472B23FC786A}" name="Safety Stock" dataDxfId="21">
      <calculatedColumnFormula>1.65*Table2[[#This Row],[Std_Dev]]*(Table2[[#This Row],[Lead_Time_(Days)]]/30)^1/2</calculatedColumnFormula>
    </tableColumn>
    <tableColumn id="19" xr3:uid="{3278B492-F7AF-44AB-957C-DE5C9CD22580}" name="Reorder Point" dataDxfId="20">
      <calculatedColumnFormula>((Table2[[#This Row],[Annual demand]]/365)*Table2[[#This Row],[Lead_Time_(Days)]])+Table2[[#This Row],[Safety Stock]]</calculatedColumnFormula>
    </tableColumn>
    <tableColumn id="20" xr3:uid="{189F0D8C-4C8F-41A6-8D51-FB40D5704128}" name="Days Of Cover" dataDxfId="19">
      <calculatedColumnFormula>Table3[[#This Row],[Closing_Stock]]/(Table2[[#This Row],[Annual demand]]/365)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3E75DA-BE1C-4C06-91C2-82A72CAF7C46}" name="Table1" displayName="Table1" ref="T1:AB46" totalsRowShown="0" headerRowDxfId="18">
  <autoFilter ref="T1:AB46" xr:uid="{723E75DA-BE1C-4C06-91C2-82A72CAF7C46}"/>
  <tableColumns count="9">
    <tableColumn id="9" xr3:uid="{39362A6F-B274-4874-AAAC-6E70DFE9B3FA}" name="Product" dataDxfId="17"/>
    <tableColumn id="1" xr3:uid="{BCAEBDF9-E5D3-492E-B163-18F8F6014708}" name="01-01-2025" dataDxfId="16">
      <calculatedColumnFormula>AVERAGEIFS($H$2:$H$1081,$C$2:$C$1081,$T2,$D$2:$D$1081,$AA2,$F$2:$F$1081,2024,$E$2:$E$1081,"&gt;=10")</calculatedColumnFormula>
    </tableColumn>
    <tableColumn id="2" xr3:uid="{D93DFCF3-F60C-470D-A769-8A5399A9C916}" name="01-02-2025" dataDxfId="15">
      <calculatedColumnFormula>AVERAGE(AVERAGEIFS($H$2:$H$1081,$C$2:$C$1081,T2,$D$2:$D$1081,AA2,$F$2:$F$1081,2024,$E$2:$E$1081,"=11"),AVERAGEIFS($H$2:$H$1081,$C$2:$C$1081,T2,$D$2:$D$1081,AA2,$F$2:$F$1081,2024,$E$2:$E$1081,"=12"),U2)</calculatedColumnFormula>
    </tableColumn>
    <tableColumn id="3" xr3:uid="{60DF377D-0D46-4B72-874B-19E3469B3604}" name="01-03-2025" dataDxfId="14">
      <calculatedColumnFormula>AVERAGE(AVERAGEIFS($H$2:$H$1081,$C$2:$C$1081,T2,$D$2:$D$1081,AA2,$F$2:$F$1081,2024,$E$2:$E$1081,"=12"),U2,V2)</calculatedColumnFormula>
    </tableColumn>
    <tableColumn id="4" xr3:uid="{EC730095-4168-485D-A675-5BEC00E31995}" name="01-04-2025" dataDxfId="13">
      <calculatedColumnFormula>AVERAGE(U2,V2,W2)</calculatedColumnFormula>
    </tableColumn>
    <tableColumn id="5" xr3:uid="{EAB22BFE-E9EB-487D-B336-F954F8A11907}" name="01-05-2025" dataDxfId="12">
      <calculatedColumnFormula>AVERAGE(V2,W2,X2)</calculatedColumnFormula>
    </tableColumn>
    <tableColumn id="6" xr3:uid="{C8405C17-2BA4-42A8-8903-904C18B20CD5}" name="01-06-2025" dataDxfId="11">
      <calculatedColumnFormula>AVERAGE(W2,X2,Y2)</calculatedColumnFormula>
    </tableColumn>
    <tableColumn id="7" xr3:uid="{D3BE0485-5E14-4D0C-B424-C0045EF6329B}" name="region"/>
    <tableColumn id="8" xr3:uid="{DB45114D-FE82-4AF6-82C6-98E11BBBB170}" name="Total forecast">
      <calculatedColumnFormula>Table1[[#This Row],[01-01-2025]]+Table1[[#This Row],[01-02-2025]]+Table1[[#This Row],[01-03-2025]]+Table1[[#This Row],[01-04-2025]]+Table1[[#This Row],[01-05-2025]]+Table1[[#This Row],[01-06-2025]]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F202DD-8F50-4CB3-85C0-65AC4A17BF49}" name="Table3" displayName="Table3" ref="A1:H46" totalsRowShown="0" headerRowDxfId="10" dataDxfId="9" tableBorderDxfId="8">
  <autoFilter ref="A1:H46" xr:uid="{EEF202DD-8F50-4CB3-85C0-65AC4A17BF49}"/>
  <tableColumns count="8">
    <tableColumn id="1" xr3:uid="{DE1B92BD-0868-4A1F-A80D-00204E48B21D}" name="SKU_ID" dataDxfId="7"/>
    <tableColumn id="2" xr3:uid="{6A84B5C5-D67D-4298-963A-0192C7A7D99A}" name="Product_Name" dataDxfId="6"/>
    <tableColumn id="3" xr3:uid="{CCC3108E-D70B-4DAA-B6CD-D8F7DDF2C633}" name="Warehouse" dataDxfId="5"/>
    <tableColumn id="4" xr3:uid="{1F1A3E11-654C-4EDB-A974-56DD07FC1735}" name="Opening_Stock" dataDxfId="4"/>
    <tableColumn id="5" xr3:uid="{3F103BB9-D1A6-4702-AC92-A3DBA35CD6DF}" name="Receipts" dataDxfId="3"/>
    <tableColumn id="6" xr3:uid="{05783BFE-C9F5-4AED-A2D3-A9BAB2F71097}" name="Dispatches" dataDxfId="2"/>
    <tableColumn id="7" xr3:uid="{55D44E03-B27C-4D29-9C54-7F28BF9F815F}" name="Closing_Stock" dataDxfId="1"/>
    <tableColumn id="8" xr3:uid="{8B8FBC73-D285-4576-ABE1-0C1F663EA9BC}" name="Stock_Status"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D611DE-FA89-4600-AFF1-CD4C5DB35316}" name="Table7" displayName="Table7" ref="L1:P47" totalsRowShown="0">
  <autoFilter ref="L1:P47" xr:uid="{EDD611DE-FA89-4600-AFF1-CD4C5DB35316}"/>
  <tableColumns count="5">
    <tableColumn id="1" xr3:uid="{B98FDC29-5921-4910-9898-C7021499CE3B}" name="EOQ">
      <calculatedColumnFormula>VLOOKUP(Table3[[#This Row],[SKU_ID]],Table2[],16,0)</calculatedColumnFormula>
    </tableColumn>
    <tableColumn id="2" xr3:uid="{DC5DADE5-DEA6-4B9F-9AD1-622357F6118F}" name="Safety Stock">
      <calculatedColumnFormula>VLOOKUP(Table3[[#This Row],[SKU_ID]],Table2[],18,0)</calculatedColumnFormula>
    </tableColumn>
    <tableColumn id="3" xr3:uid="{59237924-0C38-40BB-B8E7-C764DB1FD6B4}" name="Reorder Point">
      <calculatedColumnFormula>VLOOKUP(Table3[[#This Row],[SKU_ID]],Table2[],19,0)</calculatedColumnFormula>
    </tableColumn>
    <tableColumn id="4" xr3:uid="{7BB1AC54-0014-49DD-8532-1C6C2E26B133}" name="Days of Cover">
      <calculatedColumnFormula>VLOOKUP(Table3[[#This Row],[SKU_ID]],Table2[],20,0)</calculatedColumnFormula>
    </tableColumn>
    <tableColumn id="5" xr3:uid="{0518D300-8D27-44E3-A886-9BA53413370E}" name="Stock Status flag">
      <calculatedColumnFormula>IF(Table3[[#This Row],[Closing_Stock]]&lt;Table7[[#This Row],[Safety Stock]],"Critical",IF(G2&lt;Table7[[#This Row],[Reorder Point]],"ReOrder","OK"))</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0FE61A-752E-4357-B952-425B3E7D91C7}" name="Table5" displayName="Table5" ref="A1:I16" totalsRowShown="0">
  <autoFilter ref="A1:I16" xr:uid="{040FE61A-752E-4357-B952-425B3E7D91C7}"/>
  <tableColumns count="9">
    <tableColumn id="1" xr3:uid="{0595D95E-CD0B-47C8-BDFE-D6791E6401A8}" name="SKU">
      <calculatedColumnFormula>Table2[[#This Row],[SKU_ID]]</calculatedColumnFormula>
    </tableColumn>
    <tableColumn id="2" xr3:uid="{276DA2F9-C779-45BE-8155-0F791C54F4A5}" name="Mean Demand">
      <calculatedColumnFormula>AVERAGEIF(Demand_Data!B2:B1081,Table5[[#This Row],[SKU]],Demand_Data!H2:H1081)</calculatedColumnFormula>
    </tableColumn>
    <tableColumn id="3" xr3:uid="{4243A3A0-CA54-4035-B998-908F66FDFD59}" name="StDev Demand">
      <calculatedColumnFormula array="1">STDEV(IF(Demand_Data!B2:B1081=Table5[[#This Row],[SKU]],Demand_Data!H2:H1081))</calculatedColumnFormula>
    </tableColumn>
    <tableColumn id="4" xr3:uid="{40268C3B-B8B8-408E-8052-C6104E171527}" name=" CV Demand ">
      <calculatedColumnFormula>Table5[[#This Row],[StDev Demand]]/Table5[[#This Row],[Mean Demand]]</calculatedColumnFormula>
    </tableColumn>
    <tableColumn id="5" xr3:uid="{57F89A08-3E7D-4FEE-8385-28F7D5680BC5}" name=" Mean Orders ">
      <calculatedColumnFormula>AVERAGEIFS(Purchase_Orders!I2:I61,Purchase_Orders!B2:B61,Table5[[#This Row],[SKU]])</calculatedColumnFormula>
    </tableColumn>
    <tableColumn id="6" xr3:uid="{3FAA6F95-A095-4E41-B36B-C467C38E4DC7}" name=" StDev Orders">
      <calculatedColumnFormula array="1">STDEV(IF(Purchase_Orders!B2:B61=Table5[[#This Row],[SKU]],Purchase_Orders!I2:I61))</calculatedColumnFormula>
    </tableColumn>
    <tableColumn id="7" xr3:uid="{5839DC0C-36E9-49AF-8971-1C0E41901DAA}" name="CV Orders">
      <calculatedColumnFormula>Table5[[#This Row],[ StDev Orders]]/Table5[[#This Row],[ Mean Orders ]]</calculatedColumnFormula>
    </tableColumn>
    <tableColumn id="8" xr3:uid="{259C7171-ED2B-4978-A4E6-38B92C8044C8}" name="Bullwhip Ratio">
      <calculatedColumnFormula>Table5[[#This Row],[CV Orders]]/Table5[[#This Row],[ CV Demand ]]</calculatedColumnFormula>
    </tableColumn>
    <tableColumn id="9" xr3:uid="{5B8FECC1-9407-4F83-8AB4-4851705C19D2}" name="Interpretation">
      <calculatedColumnFormula>IF(Table5[[#This Row],[Bullwhip Ratio]]&gt;1.5,"High Bullwhip",IF(Table5[[#This Row],[Bullwhip Ratio]]&gt;1,"Moderate Bullwhip","Stable"))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061A1E2-171C-4B41-8BA8-A95A237B5551}" name="Table6" displayName="Table6" ref="A1:I16" totalsRowShown="0">
  <autoFilter ref="A1:I16" xr:uid="{7061A1E2-171C-4B41-8BA8-A95A237B5551}"/>
  <tableColumns count="9">
    <tableColumn id="1" xr3:uid="{37AFC0BB-19F4-4FA9-9025-A66E10D6D6AE}" name="SKU">
      <calculatedColumnFormula>Table2[[#This Row],[SKU_ID]]</calculatedColumnFormula>
    </tableColumn>
    <tableColumn id="2" xr3:uid="{B3B48768-8560-416A-922A-C03FEC34E844}" name="Product">
      <calculatedColumnFormula>Table2[[#This Row],[Product_Name]]</calculatedColumnFormula>
    </tableColumn>
    <tableColumn id="3" xr3:uid="{67D7289C-2E1B-4EF0-8D98-5BCAEECFE432}" name="Current Stock">
      <calculatedColumnFormula>SUMIF(Table3[SKU_ID],Table6[[#This Row],[SKU]],Table3[Closing_Stock])</calculatedColumnFormula>
    </tableColumn>
    <tableColumn id="4" xr3:uid="{9D284067-1E39-4168-A730-09ACBF0077E4}" name="Incoming PO">
      <calculatedColumnFormula>SUMIF(Purchase_Orders!B2:B61,Table6[[#This Row],[SKU]],Purchase_Orders!I2:I61)</calculatedColumnFormula>
    </tableColumn>
    <tableColumn id="5" xr3:uid="{A426C34C-EB1C-4AFD-BBF9-5BC24CC27951}" name="Total Supply">
      <calculatedColumnFormula>Table6[[#This Row],[Current Stock]]+Table6[[#This Row],[Incoming PO]]</calculatedColumnFormula>
    </tableColumn>
    <tableColumn id="6" xr3:uid="{2112E767-2E1B-45DA-8CAD-474215396945}" name="6M Forecast">
      <calculatedColumnFormula>SUMIF(Table1[Product],Table6[[#This Row],[Product]],Table1[Total forecast])</calculatedColumnFormula>
    </tableColumn>
    <tableColumn id="7" xr3:uid="{2DF071D3-E817-4B6B-8F48-3B1A9D17A972}" name="Gap">
      <calculatedColumnFormula>Table6[[#This Row],[Total Supply]]-Table6[[#This Row],[6M Forecast]]</calculatedColumnFormula>
    </tableColumn>
    <tableColumn id="8" xr3:uid="{8B39DE87-5D0D-4432-89C8-34FB6E4ACD20}" name="Gap %">
      <calculatedColumnFormula>(Table6[[#This Row],[Gap]]/Table6[[#This Row],[6M Forecast]])*100</calculatedColumnFormula>
    </tableColumn>
    <tableColumn id="9" xr3:uid="{59FAC63E-F5E7-43C7-A627-EB8738A77399}" name="Status">
      <calculatedColumnFormula>IF(Table6[[#This Row],[Gap]]&gt;0,"surplus",IF(Table6[[#This Row],[Gap]]&lt;0,"shortage","ok"))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1F8CB2C-2136-4D5B-91F4-4CC5EDB0F8E1}">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
  <sheetViews>
    <sheetView zoomScale="85" zoomScaleNormal="85" workbookViewId="0">
      <selection activeCell="J38" sqref="J38"/>
    </sheetView>
  </sheetViews>
  <sheetFormatPr defaultColWidth="8.7109375" defaultRowHeight="15" x14ac:dyDescent="0.25"/>
  <cols>
    <col min="1" max="1" width="10" customWidth="1"/>
    <col min="2" max="2" width="22" customWidth="1"/>
    <col min="3" max="3" width="14" customWidth="1"/>
    <col min="4" max="4" width="15.85546875" customWidth="1"/>
    <col min="5" max="5" width="7.42578125" customWidth="1"/>
    <col min="6" max="6" width="16.85546875" customWidth="1"/>
    <col min="7" max="7" width="20.5703125" customWidth="1"/>
    <col min="8" max="8" width="19.7109375" customWidth="1"/>
    <col min="9" max="9" width="16.5703125" customWidth="1"/>
    <col min="10" max="10" width="18.7109375" customWidth="1"/>
    <col min="11" max="11" width="15.7109375" customWidth="1"/>
    <col min="12" max="12" width="8.7109375" customWidth="1"/>
    <col min="13" max="13" width="18.85546875" customWidth="1"/>
    <col min="14" max="14" width="15.28515625" customWidth="1"/>
    <col min="15" max="15" width="25.140625" customWidth="1"/>
    <col min="16" max="16" width="11" customWidth="1"/>
    <col min="17" max="17" width="15.28515625" customWidth="1"/>
    <col min="18" max="18" width="13.85546875" customWidth="1"/>
    <col min="19" max="19" width="14.28515625" customWidth="1"/>
    <col min="20" max="20" width="13.85546875" customWidth="1"/>
  </cols>
  <sheetData>
    <row r="1" spans="1:20" ht="30" customHeight="1" x14ac:dyDescent="0.25">
      <c r="A1" s="1" t="s">
        <v>0</v>
      </c>
      <c r="B1" s="1" t="s">
        <v>1</v>
      </c>
      <c r="C1" s="1" t="s">
        <v>2</v>
      </c>
      <c r="D1" s="1" t="s">
        <v>3</v>
      </c>
      <c r="E1" s="1" t="s">
        <v>4</v>
      </c>
      <c r="F1" s="1" t="s">
        <v>5</v>
      </c>
      <c r="G1" s="1" t="s">
        <v>6</v>
      </c>
      <c r="H1" s="1" t="s">
        <v>7</v>
      </c>
      <c r="I1" s="1" t="s">
        <v>8</v>
      </c>
      <c r="J1" s="1" t="s">
        <v>9</v>
      </c>
      <c r="K1" s="1" t="s">
        <v>10</v>
      </c>
      <c r="L1" s="1" t="s">
        <v>11</v>
      </c>
      <c r="M1" s="1" t="s">
        <v>380</v>
      </c>
      <c r="N1" s="1" t="s">
        <v>379</v>
      </c>
      <c r="O1" s="19" t="s">
        <v>384</v>
      </c>
      <c r="P1" s="19" t="s">
        <v>109</v>
      </c>
      <c r="Q1" s="19" t="s">
        <v>385</v>
      </c>
      <c r="R1" s="19" t="s">
        <v>381</v>
      </c>
      <c r="S1" s="19" t="s">
        <v>383</v>
      </c>
      <c r="T1" s="19" t="s">
        <v>386</v>
      </c>
    </row>
    <row r="2" spans="1:20" x14ac:dyDescent="0.25">
      <c r="A2" s="2" t="s">
        <v>12</v>
      </c>
      <c r="B2" s="2" t="s">
        <v>13</v>
      </c>
      <c r="C2" s="2" t="s">
        <v>14</v>
      </c>
      <c r="D2" s="2" t="s">
        <v>15</v>
      </c>
      <c r="E2" s="2" t="s">
        <v>16</v>
      </c>
      <c r="F2" s="2">
        <v>85</v>
      </c>
      <c r="G2" s="2">
        <v>120</v>
      </c>
      <c r="H2" s="2">
        <v>14</v>
      </c>
      <c r="I2" s="2">
        <v>500</v>
      </c>
      <c r="J2" s="2" t="s">
        <v>17</v>
      </c>
      <c r="K2" s="2" t="s">
        <v>18</v>
      </c>
      <c r="L2" s="2" t="s">
        <v>19</v>
      </c>
      <c r="M2">
        <f>0.2*F2</f>
        <v>17</v>
      </c>
      <c r="N2">
        <v>500</v>
      </c>
      <c r="O2" s="18">
        <f>SUMIFS(Demand_Data!H2:H1081,Demand_Data!B2:B1081,Table2[[#This Row],[SKU_ID]],Demand_Data!F2:F1081,2024)</f>
        <v>145273</v>
      </c>
      <c r="P2" s="18">
        <f>((2*Table2[[#This Row],[Annual demand]]*Table2[[#This Row],[Ordering cost]])/Table2[[#This Row],[Holding cost]])^(1/2)</f>
        <v>2923.2636877701084</v>
      </c>
      <c r="Q2" s="18">
        <f>STDEV(Demand_Data!B2:B1081,Table2[[#This Row],[SKU_ID]],Demand_Data!H2:H1081)</f>
        <v>3433.0960583543024</v>
      </c>
      <c r="R2" s="18">
        <f>1.65*Table2[[#This Row],[Std_Dev]]*(Table2[[#This Row],[Lead_Time_(Days)]]/30)^1/2</f>
        <v>1321.7419824664064</v>
      </c>
      <c r="S2" s="18">
        <f>((Table2[[#This Row],[Annual demand]]/365)*Table2[[#This Row],[Lead_Time_(Days)]])+Table2[[#This Row],[Safety Stock]]</f>
        <v>6893.8570509595575</v>
      </c>
      <c r="T2" s="18">
        <f>Table3[[#This Row],[Closing_Stock]]/(Table2[[#This Row],[Annual demand]]/365)</f>
        <v>8.7762006704618205</v>
      </c>
    </row>
    <row r="3" spans="1:20" x14ac:dyDescent="0.25">
      <c r="A3" s="3" t="s">
        <v>20</v>
      </c>
      <c r="B3" s="3" t="s">
        <v>21</v>
      </c>
      <c r="C3" s="3" t="s">
        <v>14</v>
      </c>
      <c r="D3" s="3" t="s">
        <v>15</v>
      </c>
      <c r="E3" s="3" t="s">
        <v>16</v>
      </c>
      <c r="F3" s="3">
        <v>45</v>
      </c>
      <c r="G3" s="3">
        <v>68</v>
      </c>
      <c r="H3" s="3">
        <v>14</v>
      </c>
      <c r="I3" s="3">
        <v>1000</v>
      </c>
      <c r="J3" s="3" t="s">
        <v>17</v>
      </c>
      <c r="K3" s="3" t="s">
        <v>18</v>
      </c>
      <c r="L3" s="3" t="s">
        <v>19</v>
      </c>
      <c r="M3">
        <f t="shared" ref="M3:M16" si="0">0.2*F3</f>
        <v>9</v>
      </c>
      <c r="N3">
        <v>500</v>
      </c>
      <c r="O3" s="18">
        <f>SUMIFS(Demand_Data!H3:H1082,Demand_Data!B3:B1082,Table2[[#This Row],[SKU_ID]],Demand_Data!F3:F1082,2024)</f>
        <v>238145</v>
      </c>
      <c r="P3" s="17">
        <f>((2*Table2[[#This Row],[Annual demand]]*Table2[[#This Row],[Ordering cost]])/Table2[[#This Row],[Holding cost]])^(1/2)</f>
        <v>5143.9824606578468</v>
      </c>
      <c r="Q3" s="18">
        <f>STDEV(Demand_Data!B3:B1082,Table2[[#This Row],[SKU_ID]],Demand_Data!H3:H1082)</f>
        <v>3434.5698217772597</v>
      </c>
      <c r="R3" s="18">
        <f>1.65*Table2[[#This Row],[Std_Dev]]*(Table2[[#This Row],[Lead_Time_(Days)]]/30)^1/2</f>
        <v>1322.3093813842449</v>
      </c>
      <c r="S3" s="18">
        <f>((Table2[[#This Row],[Annual demand]]/365)*Table2[[#This Row],[Lead_Time_(Days)]])+Table2[[#This Row],[Safety Stock]]</f>
        <v>10456.638148507533</v>
      </c>
      <c r="T3" s="18">
        <f>Table3[[#This Row],[Closing_Stock]]/(Table2[[#This Row],[Annual demand]]/365)</f>
        <v>4.8417350773688295</v>
      </c>
    </row>
    <row r="4" spans="1:20" x14ac:dyDescent="0.25">
      <c r="A4" s="2" t="s">
        <v>22</v>
      </c>
      <c r="B4" s="2" t="s">
        <v>23</v>
      </c>
      <c r="C4" s="2" t="s">
        <v>24</v>
      </c>
      <c r="D4" s="2" t="s">
        <v>25</v>
      </c>
      <c r="E4" s="2" t="s">
        <v>16</v>
      </c>
      <c r="F4" s="2">
        <v>18</v>
      </c>
      <c r="G4" s="2">
        <v>28</v>
      </c>
      <c r="H4" s="2">
        <v>10</v>
      </c>
      <c r="I4" s="2">
        <v>2000</v>
      </c>
      <c r="J4" s="2" t="s">
        <v>26</v>
      </c>
      <c r="K4" s="2" t="s">
        <v>18</v>
      </c>
      <c r="L4" s="2" t="s">
        <v>19</v>
      </c>
      <c r="M4">
        <f t="shared" si="0"/>
        <v>3.6</v>
      </c>
      <c r="N4">
        <v>500</v>
      </c>
      <c r="O4" s="18">
        <f>SUMIFS(Demand_Data!H4:H1083,Demand_Data!B4:B1083,Table2[[#This Row],[SKU_ID]],Demand_Data!F4:F1083,2024)</f>
        <v>336966</v>
      </c>
      <c r="P4" s="17">
        <f>((2*Table2[[#This Row],[Annual demand]]*Table2[[#This Row],[Ordering cost]])/Table2[[#This Row],[Holding cost]])^(1/2)</f>
        <v>9674.795432807181</v>
      </c>
      <c r="Q4" s="18">
        <f>STDEV(Demand_Data!B4:B1083,Table2[[#This Row],[SKU_ID]],Demand_Data!H4:H1083)</f>
        <v>3435.9010956967368</v>
      </c>
      <c r="R4" s="18">
        <f>1.65*Table2[[#This Row],[Std_Dev]]*(Table2[[#This Row],[Lead_Time_(Days)]]/30)^1/2</f>
        <v>944.87280131660248</v>
      </c>
      <c r="S4" s="18">
        <f>((Table2[[#This Row],[Annual demand]]/365)*Table2[[#This Row],[Lead_Time_(Days)]])+Table2[[#This Row],[Safety Stock]]</f>
        <v>10176.818006796055</v>
      </c>
      <c r="T4" s="18">
        <f>Table3[[#This Row],[Closing_Stock]]/(Table2[[#This Row],[Annual demand]]/365)</f>
        <v>3.3319088572734339</v>
      </c>
    </row>
    <row r="5" spans="1:20" x14ac:dyDescent="0.25">
      <c r="A5" s="3" t="s">
        <v>27</v>
      </c>
      <c r="B5" s="3" t="s">
        <v>28</v>
      </c>
      <c r="C5" s="3" t="s">
        <v>24</v>
      </c>
      <c r="D5" s="3" t="s">
        <v>29</v>
      </c>
      <c r="E5" s="3" t="s">
        <v>16</v>
      </c>
      <c r="F5" s="3">
        <v>55</v>
      </c>
      <c r="G5" s="3">
        <v>90</v>
      </c>
      <c r="H5" s="3">
        <v>10</v>
      </c>
      <c r="I5" s="3">
        <v>500</v>
      </c>
      <c r="J5" s="3" t="s">
        <v>26</v>
      </c>
      <c r="K5" s="3" t="s">
        <v>18</v>
      </c>
      <c r="L5" s="3" t="s">
        <v>19</v>
      </c>
      <c r="M5">
        <f t="shared" si="0"/>
        <v>11</v>
      </c>
      <c r="N5">
        <v>500</v>
      </c>
      <c r="O5" s="18">
        <f>SUMIFS(Demand_Data!H5:H1084,Demand_Data!B5:B1084,Table2[[#This Row],[SKU_ID]],Demand_Data!F5:F1084,2024)</f>
        <v>111528</v>
      </c>
      <c r="P5" s="17">
        <f>((2*Table2[[#This Row],[Annual demand]]*Table2[[#This Row],[Ordering cost]])/Table2[[#This Row],[Holding cost]])^(1/2)</f>
        <v>3184.165368021751</v>
      </c>
      <c r="Q5" s="18">
        <f>STDEV(Demand_Data!B5:B1084,Table2[[#This Row],[SKU_ID]],Demand_Data!H5:H1084)</f>
        <v>3437.4685507746281</v>
      </c>
      <c r="R5" s="18">
        <f>1.65*Table2[[#This Row],[Std_Dev]]*(Table2[[#This Row],[Lead_Time_(Days)]]/30)^1/2</f>
        <v>945.30385146302262</v>
      </c>
      <c r="S5" s="18">
        <f>((Table2[[#This Row],[Annual demand]]/365)*Table2[[#This Row],[Lead_Time_(Days)]])+Table2[[#This Row],[Safety Stock]]</f>
        <v>4000.865495298639</v>
      </c>
      <c r="T5" s="18">
        <f>Table3[[#This Row],[Closing_Stock]]/(Table2[[#This Row],[Annual demand]]/365)</f>
        <v>23.360680725916364</v>
      </c>
    </row>
    <row r="6" spans="1:20" x14ac:dyDescent="0.25">
      <c r="A6" s="2" t="s">
        <v>30</v>
      </c>
      <c r="B6" s="2" t="s">
        <v>31</v>
      </c>
      <c r="C6" s="2" t="s">
        <v>32</v>
      </c>
      <c r="D6" s="2" t="s">
        <v>33</v>
      </c>
      <c r="E6" s="2" t="s">
        <v>16</v>
      </c>
      <c r="F6" s="2">
        <v>22</v>
      </c>
      <c r="G6" s="2">
        <v>35</v>
      </c>
      <c r="H6" s="2">
        <v>7</v>
      </c>
      <c r="I6" s="2">
        <v>3000</v>
      </c>
      <c r="J6" s="2" t="s">
        <v>17</v>
      </c>
      <c r="K6" s="2" t="s">
        <v>18</v>
      </c>
      <c r="L6" s="2" t="s">
        <v>19</v>
      </c>
      <c r="M6">
        <f t="shared" si="0"/>
        <v>4.4000000000000004</v>
      </c>
      <c r="N6">
        <v>500</v>
      </c>
      <c r="O6" s="18">
        <f>SUMIFS(Demand_Data!H6:H1085,Demand_Data!B6:B1085,Table2[[#This Row],[SKU_ID]],Demand_Data!F6:F1085,2024)</f>
        <v>422663</v>
      </c>
      <c r="P6" s="17">
        <f>((2*Table2[[#This Row],[Annual demand]]*Table2[[#This Row],[Ordering cost]])/Table2[[#This Row],[Holding cost]])^(1/2)</f>
        <v>9801.0087606976831</v>
      </c>
      <c r="Q6" s="18">
        <f>STDEV(Demand_Data!B6:B1085,Table2[[#This Row],[SKU_ID]],Demand_Data!H6:H1085)</f>
        <v>3439.0527173723995</v>
      </c>
      <c r="R6" s="18">
        <f>1.65*Table2[[#This Row],[Std_Dev]]*(Table2[[#This Row],[Lead_Time_(Days)]]/30)^1/2</f>
        <v>662.01764809418694</v>
      </c>
      <c r="S6" s="18">
        <f>((Table2[[#This Row],[Annual demand]]/365)*Table2[[#This Row],[Lead_Time_(Days)]])+Table2[[#This Row],[Safety Stock]]</f>
        <v>8767.883401518844</v>
      </c>
      <c r="T6" s="18">
        <f>Table3[[#This Row],[Closing_Stock]]/(Table2[[#This Row],[Annual demand]]/365)</f>
        <v>3.0363197157073127</v>
      </c>
    </row>
    <row r="7" spans="1:20" x14ac:dyDescent="0.25">
      <c r="A7" s="3" t="s">
        <v>34</v>
      </c>
      <c r="B7" s="3" t="s">
        <v>35</v>
      </c>
      <c r="C7" s="3" t="s">
        <v>32</v>
      </c>
      <c r="D7" s="3" t="s">
        <v>33</v>
      </c>
      <c r="E7" s="3" t="s">
        <v>16</v>
      </c>
      <c r="F7" s="3">
        <v>25</v>
      </c>
      <c r="G7" s="3">
        <v>38</v>
      </c>
      <c r="H7" s="3">
        <v>7</v>
      </c>
      <c r="I7" s="3">
        <v>3000</v>
      </c>
      <c r="J7" s="3" t="s">
        <v>17</v>
      </c>
      <c r="K7" s="3" t="s">
        <v>18</v>
      </c>
      <c r="L7" s="3" t="s">
        <v>19</v>
      </c>
      <c r="M7">
        <f t="shared" si="0"/>
        <v>5</v>
      </c>
      <c r="N7">
        <v>500</v>
      </c>
      <c r="O7" s="18">
        <f>SUMIFS(Demand_Data!H7:H1086,Demand_Data!B7:B1086,Table2[[#This Row],[SKU_ID]],Demand_Data!F7:F1086,2024)</f>
        <v>389008</v>
      </c>
      <c r="P7" s="17">
        <f>((2*Table2[[#This Row],[Annual demand]]*Table2[[#This Row],[Ordering cost]])/Table2[[#This Row],[Holding cost]])^(1/2)</f>
        <v>8820.5215265311836</v>
      </c>
      <c r="Q7" s="18">
        <f>STDEV(Demand_Data!B7:B1086,Table2[[#This Row],[SKU_ID]],Demand_Data!H7:H1086)</f>
        <v>3440.6181592053276</v>
      </c>
      <c r="R7" s="18">
        <f>1.65*Table2[[#This Row],[Std_Dev]]*(Table2[[#This Row],[Lead_Time_(Days)]]/30)^1/2</f>
        <v>662.31899564702553</v>
      </c>
      <c r="S7" s="18">
        <f>((Table2[[#This Row],[Annual demand]]/365)*Table2[[#This Row],[Lead_Time_(Days)]])+Table2[[#This Row],[Safety Stock]]</f>
        <v>8122.7463929073001</v>
      </c>
      <c r="T7" s="18">
        <f>Table3[[#This Row],[Closing_Stock]]/(Table2[[#This Row],[Annual demand]]/365)</f>
        <v>6.5051232879529461</v>
      </c>
    </row>
    <row r="8" spans="1:20" x14ac:dyDescent="0.25">
      <c r="A8" s="2" t="s">
        <v>36</v>
      </c>
      <c r="B8" s="2" t="s">
        <v>37</v>
      </c>
      <c r="C8" s="2" t="s">
        <v>32</v>
      </c>
      <c r="D8" s="2" t="s">
        <v>38</v>
      </c>
      <c r="E8" s="2" t="s">
        <v>16</v>
      </c>
      <c r="F8" s="2">
        <v>120</v>
      </c>
      <c r="G8" s="2">
        <v>185</v>
      </c>
      <c r="H8" s="2">
        <v>21</v>
      </c>
      <c r="I8" s="2">
        <v>300</v>
      </c>
      <c r="J8" s="2" t="s">
        <v>17</v>
      </c>
      <c r="K8" s="2" t="s">
        <v>18</v>
      </c>
      <c r="L8" s="2" t="s">
        <v>19</v>
      </c>
      <c r="M8">
        <f t="shared" si="0"/>
        <v>24</v>
      </c>
      <c r="N8">
        <v>500</v>
      </c>
      <c r="O8" s="18">
        <f>SUMIFS(Demand_Data!H8:H1087,Demand_Data!B8:B1087,Table2[[#This Row],[SKU_ID]],Demand_Data!F8:F1087,2024)</f>
        <v>62512</v>
      </c>
      <c r="P8" s="17">
        <f>((2*Table2[[#This Row],[Annual demand]]*Table2[[#This Row],[Ordering cost]])/Table2[[#This Row],[Holding cost]])^(1/2)</f>
        <v>1613.897972818191</v>
      </c>
      <c r="Q8" s="18">
        <f>STDEV(Demand_Data!B8:B1087,Table2[[#This Row],[SKU_ID]],Demand_Data!H8:H1087)</f>
        <v>3442.222155310139</v>
      </c>
      <c r="R8" s="18">
        <f>1.65*Table2[[#This Row],[Std_Dev]]*(Table2[[#This Row],[Lead_Time_(Days)]]/30)^1/2</f>
        <v>1987.883294691605</v>
      </c>
      <c r="S8" s="18">
        <f>((Table2[[#This Row],[Annual demand]]/365)*Table2[[#This Row],[Lead_Time_(Days)]])+Table2[[#This Row],[Safety Stock]]</f>
        <v>5584.4641166094134</v>
      </c>
      <c r="T8" s="18">
        <f>Table3[[#This Row],[Closing_Stock]]/(Table2[[#This Row],[Annual demand]]/365)</f>
        <v>55.930621320706422</v>
      </c>
    </row>
    <row r="9" spans="1:20" x14ac:dyDescent="0.25">
      <c r="A9" s="3" t="s">
        <v>39</v>
      </c>
      <c r="B9" s="3" t="s">
        <v>40</v>
      </c>
      <c r="C9" s="3" t="s">
        <v>32</v>
      </c>
      <c r="D9" s="3" t="s">
        <v>38</v>
      </c>
      <c r="E9" s="3" t="s">
        <v>16</v>
      </c>
      <c r="F9" s="3">
        <v>90</v>
      </c>
      <c r="G9" s="3">
        <v>145</v>
      </c>
      <c r="H9" s="3">
        <v>21</v>
      </c>
      <c r="I9" s="3">
        <v>300</v>
      </c>
      <c r="J9" s="3" t="s">
        <v>17</v>
      </c>
      <c r="K9" s="3" t="s">
        <v>18</v>
      </c>
      <c r="L9" s="3" t="s">
        <v>19</v>
      </c>
      <c r="M9">
        <f t="shared" si="0"/>
        <v>18</v>
      </c>
      <c r="N9">
        <v>500</v>
      </c>
      <c r="O9" s="18">
        <f>SUMIFS(Demand_Data!H9:H1088,Demand_Data!B9:B1088,Table2[[#This Row],[SKU_ID]],Demand_Data!F9:F1088,2024)</f>
        <v>76299</v>
      </c>
      <c r="P9" s="17">
        <f>((2*Table2[[#This Row],[Annual demand]]*Table2[[#This Row],[Ordering cost]])/Table2[[#This Row],[Holding cost]])^(1/2)</f>
        <v>2058.8427169974234</v>
      </c>
      <c r="Q9" s="18">
        <f>STDEV(Demand_Data!B9:B1088,Table2[[#This Row],[SKU_ID]],Demand_Data!H9:H1088)</f>
        <v>3443.8284686374463</v>
      </c>
      <c r="R9" s="18">
        <f>1.65*Table2[[#This Row],[Std_Dev]]*(Table2[[#This Row],[Lead_Time_(Days)]]/30)^1/2</f>
        <v>1988.810940638125</v>
      </c>
      <c r="S9" s="18">
        <f>((Table2[[#This Row],[Annual demand]]/365)*Table2[[#This Row],[Lead_Time_(Days)]])+Table2[[#This Row],[Safety Stock]]</f>
        <v>6378.6164200901803</v>
      </c>
      <c r="T9" s="18">
        <f>Table3[[#This Row],[Closing_Stock]]/(Table2[[#This Row],[Annual demand]]/365)</f>
        <v>43.035164287867467</v>
      </c>
    </row>
    <row r="10" spans="1:20" x14ac:dyDescent="0.25">
      <c r="A10" s="2" t="s">
        <v>41</v>
      </c>
      <c r="B10" s="2" t="s">
        <v>42</v>
      </c>
      <c r="C10" s="2" t="s">
        <v>32</v>
      </c>
      <c r="D10" s="2" t="s">
        <v>43</v>
      </c>
      <c r="E10" s="2" t="s">
        <v>16</v>
      </c>
      <c r="F10" s="2">
        <v>65</v>
      </c>
      <c r="G10" s="2">
        <v>110</v>
      </c>
      <c r="H10" s="2">
        <v>14</v>
      </c>
      <c r="I10" s="2">
        <v>500</v>
      </c>
      <c r="J10" s="2" t="s">
        <v>44</v>
      </c>
      <c r="K10" s="2" t="s">
        <v>18</v>
      </c>
      <c r="L10" s="2" t="s">
        <v>19</v>
      </c>
      <c r="M10">
        <f t="shared" si="0"/>
        <v>13</v>
      </c>
      <c r="N10">
        <v>500</v>
      </c>
      <c r="O10" s="18">
        <f>SUMIFS(Demand_Data!H10:H1089,Demand_Data!B10:B1089,Table2[[#This Row],[SKU_ID]],Demand_Data!F10:F1089,2024)</f>
        <v>96617</v>
      </c>
      <c r="P10" s="17">
        <f>((2*Table2[[#This Row],[Annual demand]]*Table2[[#This Row],[Ordering cost]])/Table2[[#This Row],[Holding cost]])^(1/2)</f>
        <v>2726.1835820569609</v>
      </c>
      <c r="Q10" s="18">
        <f>STDEV(Demand_Data!B10:B1089,Table2[[#This Row],[SKU_ID]],Demand_Data!H10:H1089)</f>
        <v>3445.4088852935929</v>
      </c>
      <c r="R10" s="18">
        <f>1.65*Table2[[#This Row],[Std_Dev]]*(Table2[[#This Row],[Lead_Time_(Days)]]/30)^1/2</f>
        <v>1326.482420838033</v>
      </c>
      <c r="S10" s="18">
        <f>((Table2[[#This Row],[Annual demand]]/365)*Table2[[#This Row],[Lead_Time_(Days)]])+Table2[[#This Row],[Safety Stock]]</f>
        <v>5032.3399550846079</v>
      </c>
      <c r="T10" s="18">
        <f>Table3[[#This Row],[Closing_Stock]]/(Table2[[#This Row],[Annual demand]]/365)</f>
        <v>26.573066851589267</v>
      </c>
    </row>
    <row r="11" spans="1:20" x14ac:dyDescent="0.25">
      <c r="A11" s="3" t="s">
        <v>45</v>
      </c>
      <c r="B11" s="3" t="s">
        <v>46</v>
      </c>
      <c r="C11" s="3" t="s">
        <v>32</v>
      </c>
      <c r="D11" s="3" t="s">
        <v>38</v>
      </c>
      <c r="E11" s="3" t="s">
        <v>16</v>
      </c>
      <c r="F11" s="3">
        <v>55</v>
      </c>
      <c r="G11" s="3">
        <v>85</v>
      </c>
      <c r="H11" s="3">
        <v>21</v>
      </c>
      <c r="I11" s="3">
        <v>500</v>
      </c>
      <c r="J11" s="3" t="s">
        <v>17</v>
      </c>
      <c r="K11" s="3" t="s">
        <v>18</v>
      </c>
      <c r="L11" s="3" t="s">
        <v>19</v>
      </c>
      <c r="M11">
        <f t="shared" si="0"/>
        <v>11</v>
      </c>
      <c r="N11">
        <v>500</v>
      </c>
      <c r="O11" s="18">
        <f>SUMIFS(Demand_Data!H11:H1090,Demand_Data!B11:B1090,Table2[[#This Row],[SKU_ID]],Demand_Data!F11:F1090,2024)</f>
        <v>124664</v>
      </c>
      <c r="P11" s="17">
        <f>((2*Table2[[#This Row],[Annual demand]]*Table2[[#This Row],[Ordering cost]])/Table2[[#This Row],[Holding cost]])^(1/2)</f>
        <v>3366.4656405629494</v>
      </c>
      <c r="Q11" s="18">
        <f>STDEV(Demand_Data!B11:B1090,Table2[[#This Row],[SKU_ID]],Demand_Data!H11:H1090)</f>
        <v>3447.0125563080096</v>
      </c>
      <c r="R11" s="18">
        <f>1.65*Table2[[#This Row],[Std_Dev]]*(Table2[[#This Row],[Lead_Time_(Days)]]/30)^1/2</f>
        <v>1990.6497512678752</v>
      </c>
      <c r="S11" s="18">
        <f>((Table2[[#This Row],[Annual demand]]/365)*Table2[[#This Row],[Lead_Time_(Days)]])+Table2[[#This Row],[Safety Stock]]</f>
        <v>9163.09906633637</v>
      </c>
      <c r="T11" s="18">
        <f>Table3[[#This Row],[Closing_Stock]]/(Table2[[#This Row],[Annual demand]]/365)</f>
        <v>7.7032262722197258</v>
      </c>
    </row>
    <row r="12" spans="1:20" x14ac:dyDescent="0.25">
      <c r="A12" s="2" t="s">
        <v>47</v>
      </c>
      <c r="B12" s="2" t="s">
        <v>48</v>
      </c>
      <c r="C12" s="2" t="s">
        <v>14</v>
      </c>
      <c r="D12" s="2" t="s">
        <v>15</v>
      </c>
      <c r="E12" s="2" t="s">
        <v>16</v>
      </c>
      <c r="F12" s="2">
        <v>70</v>
      </c>
      <c r="G12" s="2">
        <v>105</v>
      </c>
      <c r="H12" s="2">
        <v>14</v>
      </c>
      <c r="I12" s="2">
        <v>500</v>
      </c>
      <c r="J12" s="2" t="s">
        <v>17</v>
      </c>
      <c r="K12" s="2" t="s">
        <v>18</v>
      </c>
      <c r="L12" s="2" t="s">
        <v>19</v>
      </c>
      <c r="M12">
        <f t="shared" si="0"/>
        <v>14</v>
      </c>
      <c r="N12">
        <v>500</v>
      </c>
      <c r="O12" s="18">
        <f>SUMIFS(Demand_Data!H12:H1091,Demand_Data!B12:B1091,Table2[[#This Row],[SKU_ID]],Demand_Data!F12:F1091,2024)</f>
        <v>135191</v>
      </c>
      <c r="P12" s="17">
        <f>((2*Table2[[#This Row],[Annual demand]]*Table2[[#This Row],[Ordering cost]])/Table2[[#This Row],[Holding cost]])^(1/2)</f>
        <v>3107.4909493029904</v>
      </c>
      <c r="Q12" s="18">
        <f>STDEV(Demand_Data!B12:B1091,Table2[[#This Row],[SKU_ID]],Demand_Data!H12:H1091)</f>
        <v>3448.6111849385006</v>
      </c>
      <c r="R12" s="18">
        <f>1.65*Table2[[#This Row],[Std_Dev]]*(Table2[[#This Row],[Lead_Time_(Days)]]/30)^1/2</f>
        <v>1327.7153062013226</v>
      </c>
      <c r="S12" s="18">
        <f>((Table2[[#This Row],[Annual demand]]/365)*Table2[[#This Row],[Lead_Time_(Days)]])+Table2[[#This Row],[Safety Stock]]</f>
        <v>6513.1235253794057</v>
      </c>
      <c r="T12" s="18">
        <f>Table3[[#This Row],[Closing_Stock]]/(Table2[[#This Row],[Annual demand]]/365)</f>
        <v>6.3366274382170413</v>
      </c>
    </row>
    <row r="13" spans="1:20" x14ac:dyDescent="0.25">
      <c r="A13" s="3" t="s">
        <v>49</v>
      </c>
      <c r="B13" s="3" t="s">
        <v>50</v>
      </c>
      <c r="C13" s="3" t="s">
        <v>51</v>
      </c>
      <c r="D13" s="3" t="s">
        <v>52</v>
      </c>
      <c r="E13" s="3" t="s">
        <v>16</v>
      </c>
      <c r="F13" s="3">
        <v>45</v>
      </c>
      <c r="G13" s="3">
        <v>72</v>
      </c>
      <c r="H13" s="3">
        <v>14</v>
      </c>
      <c r="I13" s="3">
        <v>600</v>
      </c>
      <c r="J13" s="3" t="s">
        <v>26</v>
      </c>
      <c r="K13" s="3" t="s">
        <v>18</v>
      </c>
      <c r="L13" s="3" t="s">
        <v>19</v>
      </c>
      <c r="M13">
        <f t="shared" si="0"/>
        <v>9</v>
      </c>
      <c r="N13">
        <v>500</v>
      </c>
      <c r="O13" s="18">
        <f>SUMIFS(Demand_Data!H13:H1092,Demand_Data!B13:B1092,Table2[[#This Row],[SKU_ID]],Demand_Data!F13:F1092,2024)</f>
        <v>51712</v>
      </c>
      <c r="P13" s="17">
        <f>((2*Table2[[#This Row],[Annual demand]]*Table2[[#This Row],[Ordering cost]])/Table2[[#This Row],[Holding cost]])^(1/2)</f>
        <v>2397.0352057860514</v>
      </c>
      <c r="Q13" s="18">
        <f>STDEV(Demand_Data!B13:B1092,Table2[[#This Row],[SKU_ID]],Demand_Data!H13:H1092)</f>
        <v>3450.2254216896031</v>
      </c>
      <c r="R13" s="18">
        <f>1.65*Table2[[#This Row],[Std_Dev]]*(Table2[[#This Row],[Lead_Time_(Days)]]/30)^1/2</f>
        <v>1328.3367873504972</v>
      </c>
      <c r="S13" s="18">
        <f>((Table2[[#This Row],[Annual demand]]/365)*Table2[[#This Row],[Lead_Time_(Days)]])+Table2[[#This Row],[Safety Stock]]</f>
        <v>3311.8107599532368</v>
      </c>
      <c r="T13" s="18">
        <f>Table3[[#This Row],[Closing_Stock]]/(Table2[[#This Row],[Annual demand]]/365)</f>
        <v>13.749613242574259</v>
      </c>
    </row>
    <row r="14" spans="1:20" x14ac:dyDescent="0.25">
      <c r="A14" s="2" t="s">
        <v>53</v>
      </c>
      <c r="B14" s="2" t="s">
        <v>54</v>
      </c>
      <c r="C14" s="2" t="s">
        <v>55</v>
      </c>
      <c r="D14" s="2" t="s">
        <v>56</v>
      </c>
      <c r="E14" s="2" t="s">
        <v>16</v>
      </c>
      <c r="F14" s="2">
        <v>55</v>
      </c>
      <c r="G14" s="2">
        <v>88</v>
      </c>
      <c r="H14" s="2">
        <v>10</v>
      </c>
      <c r="I14" s="2">
        <v>1000</v>
      </c>
      <c r="J14" s="2" t="s">
        <v>17</v>
      </c>
      <c r="K14" s="2" t="s">
        <v>18</v>
      </c>
      <c r="L14" s="2" t="s">
        <v>19</v>
      </c>
      <c r="M14">
        <f t="shared" si="0"/>
        <v>11</v>
      </c>
      <c r="N14">
        <v>500</v>
      </c>
      <c r="O14" s="18">
        <f>SUMIFS(Demand_Data!H14:H1093,Demand_Data!B14:B1093,Table2[[#This Row],[SKU_ID]],Demand_Data!F14:F1093,2024)</f>
        <v>146024</v>
      </c>
      <c r="P14" s="17">
        <f>((2*Table2[[#This Row],[Annual demand]]*Table2[[#This Row],[Ordering cost]])/Table2[[#This Row],[Holding cost]])^(1/2)</f>
        <v>3643.4748648658319</v>
      </c>
      <c r="Q14" s="18">
        <f>STDEV(Demand_Data!B14:B1093,Table2[[#This Row],[SKU_ID]],Demand_Data!H14:H1093)</f>
        <v>3451.717694392235</v>
      </c>
      <c r="R14" s="18">
        <f>1.65*Table2[[#This Row],[Std_Dev]]*(Table2[[#This Row],[Lead_Time_(Days)]]/30)^1/2</f>
        <v>949.22236595786455</v>
      </c>
      <c r="S14" s="18">
        <f>((Table2[[#This Row],[Annual demand]]/365)*Table2[[#This Row],[Lead_Time_(Days)]])+Table2[[#This Row],[Safety Stock]]</f>
        <v>4949.8799002044398</v>
      </c>
      <c r="T14" s="18">
        <f>Table3[[#This Row],[Closing_Stock]]/(Table2[[#This Row],[Annual demand]]/365)</f>
        <v>29.295184353257</v>
      </c>
    </row>
    <row r="15" spans="1:20" x14ac:dyDescent="0.25">
      <c r="A15" s="3" t="s">
        <v>57</v>
      </c>
      <c r="B15" s="3" t="s">
        <v>58</v>
      </c>
      <c r="C15" s="3" t="s">
        <v>55</v>
      </c>
      <c r="D15" s="3" t="s">
        <v>56</v>
      </c>
      <c r="E15" s="3" t="s">
        <v>16</v>
      </c>
      <c r="F15" s="3">
        <v>40</v>
      </c>
      <c r="G15" s="3">
        <v>65</v>
      </c>
      <c r="H15" s="3">
        <v>10</v>
      </c>
      <c r="I15" s="3">
        <v>1000</v>
      </c>
      <c r="J15" s="3" t="s">
        <v>17</v>
      </c>
      <c r="K15" s="3" t="s">
        <v>18</v>
      </c>
      <c r="L15" s="3" t="s">
        <v>19</v>
      </c>
      <c r="M15">
        <f t="shared" si="0"/>
        <v>8</v>
      </c>
      <c r="N15">
        <v>500</v>
      </c>
      <c r="O15" s="18">
        <f>SUMIFS(Demand_Data!H15:H1094,Demand_Data!B15:B1094,Table2[[#This Row],[SKU_ID]],Demand_Data!F15:F1094,2024)</f>
        <v>136575</v>
      </c>
      <c r="P15" s="17">
        <f>((2*Table2[[#This Row],[Annual demand]]*Table2[[#This Row],[Ordering cost]])/Table2[[#This Row],[Holding cost]])^(1/2)</f>
        <v>4131.8125562517962</v>
      </c>
      <c r="Q15" s="18">
        <f>STDEV(Demand_Data!B15:B1094,Table2[[#This Row],[SKU_ID]],Demand_Data!H15:H1094)</f>
        <v>3453.173797914948</v>
      </c>
      <c r="R15" s="18">
        <f>1.65*Table2[[#This Row],[Std_Dev]]*(Table2[[#This Row],[Lead_Time_(Days)]]/30)^1/2</f>
        <v>949.62279442661065</v>
      </c>
      <c r="S15" s="18">
        <f>((Table2[[#This Row],[Annual demand]]/365)*Table2[[#This Row],[Lead_Time_(Days)]])+Table2[[#This Row],[Safety Stock]]</f>
        <v>4691.4036163444198</v>
      </c>
      <c r="T15" s="18">
        <f>Table3[[#This Row],[Closing_Stock]]/(Table2[[#This Row],[Annual demand]]/365)</f>
        <v>39.14713527365916</v>
      </c>
    </row>
    <row r="16" spans="1:20" x14ac:dyDescent="0.25">
      <c r="A16" s="2" t="s">
        <v>59</v>
      </c>
      <c r="B16" s="2" t="s">
        <v>60</v>
      </c>
      <c r="C16" s="2" t="s">
        <v>61</v>
      </c>
      <c r="D16" s="2" t="s">
        <v>62</v>
      </c>
      <c r="E16" s="2" t="s">
        <v>16</v>
      </c>
      <c r="F16" s="2">
        <v>78</v>
      </c>
      <c r="G16" s="2">
        <v>125</v>
      </c>
      <c r="H16" s="2">
        <v>21</v>
      </c>
      <c r="I16" s="2">
        <v>200</v>
      </c>
      <c r="J16" s="2" t="s">
        <v>26</v>
      </c>
      <c r="K16" s="2" t="s">
        <v>63</v>
      </c>
      <c r="L16" s="2" t="s">
        <v>19</v>
      </c>
      <c r="M16">
        <f t="shared" si="0"/>
        <v>15.600000000000001</v>
      </c>
      <c r="N16">
        <v>500</v>
      </c>
      <c r="O16" s="18">
        <f>SUMIFS(Demand_Data!H16:H1095,Demand_Data!B16:B1095,Table2[[#This Row],[SKU_ID]],Demand_Data!F16:F1095,2024)</f>
        <v>27550</v>
      </c>
      <c r="P16" s="20">
        <f>((2*Table2[[#This Row],[Annual demand]]*Table2[[#This Row],[Ordering cost]])/Table2[[#This Row],[Holding cost]])^(1/2)</f>
        <v>1328.9189745901142</v>
      </c>
      <c r="Q16" s="18">
        <f>STDEV(Demand_Data!B16:B1095,Table2[[#This Row],[SKU_ID]],Demand_Data!H16:H1095)</f>
        <v>3454.4736772659439</v>
      </c>
      <c r="R16" s="18">
        <f>1.65*Table2[[#This Row],[Std_Dev]]*(Table2[[#This Row],[Lead_Time_(Days)]]/30)^1/2</f>
        <v>1994.9585486210824</v>
      </c>
      <c r="S16" s="18">
        <f>((Table2[[#This Row],[Annual demand]]/365)*Table2[[#This Row],[Lead_Time_(Days)]])+Table2[[#This Row],[Safety Stock]]</f>
        <v>3580.0270417717675</v>
      </c>
      <c r="T16" s="18">
        <f>Table3[[#This Row],[Closing_Stock]]/(Table2[[#This Row],[Annual demand]]/365)</f>
        <v>220.55009074410162</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7600-EB27-4B04-A620-DEF5D657A1E8}">
  <dimension ref="A3:E106"/>
  <sheetViews>
    <sheetView topLeftCell="A70" workbookViewId="0">
      <selection activeCell="E109" sqref="E109"/>
    </sheetView>
  </sheetViews>
  <sheetFormatPr defaultRowHeight="15" x14ac:dyDescent="0.25"/>
  <cols>
    <col min="1" max="1" width="25.85546875" bestFit="1" customWidth="1"/>
    <col min="2" max="2" width="16.28515625" bestFit="1" customWidth="1"/>
    <col min="3" max="4" width="8.5703125" bestFit="1" customWidth="1"/>
    <col min="5" max="5" width="11.140625" bestFit="1" customWidth="1"/>
    <col min="6" max="13" width="7.5703125" bestFit="1" customWidth="1"/>
    <col min="14" max="16" width="8.5703125" bestFit="1" customWidth="1"/>
    <col min="17" max="17" width="11" bestFit="1" customWidth="1"/>
    <col min="18" max="18" width="8" bestFit="1" customWidth="1"/>
    <col min="19" max="30" width="7.5703125" bestFit="1" customWidth="1"/>
    <col min="31" max="32" width="8.5703125" bestFit="1" customWidth="1"/>
    <col min="33" max="33" width="11" bestFit="1" customWidth="1"/>
    <col min="34" max="45" width="7.5703125" bestFit="1" customWidth="1"/>
    <col min="46" max="48" width="8.5703125" bestFit="1" customWidth="1"/>
    <col min="49" max="49" width="10.5703125" bestFit="1" customWidth="1"/>
    <col min="50" max="50" width="11.28515625" bestFit="1" customWidth="1"/>
    <col min="51" max="52" width="7.5703125" bestFit="1" customWidth="1"/>
    <col min="53" max="53" width="19.5703125" bestFit="1" customWidth="1"/>
    <col min="54" max="54" width="14.140625" bestFit="1" customWidth="1"/>
    <col min="55" max="55" width="7.5703125" bestFit="1" customWidth="1"/>
    <col min="56" max="56" width="8.5703125" bestFit="1" customWidth="1"/>
    <col min="57" max="57" width="17.42578125" bestFit="1" customWidth="1"/>
    <col min="58" max="58" width="18.140625" bestFit="1" customWidth="1"/>
    <col min="59" max="60" width="7.5703125" bestFit="1" customWidth="1"/>
    <col min="61" max="61" width="21.42578125" bestFit="1" customWidth="1"/>
    <col min="62" max="62" width="11.28515625" bestFit="1" customWidth="1"/>
    <col min="63" max="76" width="17.28515625" bestFit="1" customWidth="1"/>
    <col min="77" max="81" width="23" bestFit="1" customWidth="1"/>
    <col min="82" max="156" width="17.28515625" bestFit="1" customWidth="1"/>
    <col min="157" max="161" width="23" bestFit="1" customWidth="1"/>
    <col min="162" max="236" width="17.28515625" bestFit="1" customWidth="1"/>
    <col min="237" max="241" width="22.5703125" bestFit="1" customWidth="1"/>
    <col min="242" max="246" width="22.28515625" bestFit="1" customWidth="1"/>
    <col min="247" max="249" width="23" bestFit="1" customWidth="1"/>
    <col min="250" max="253" width="17.28515625" bestFit="1" customWidth="1"/>
    <col min="254" max="257" width="23.42578125" bestFit="1" customWidth="1"/>
    <col min="258" max="261" width="17.28515625" bestFit="1" customWidth="1"/>
    <col min="262" max="265" width="24.42578125" bestFit="1" customWidth="1"/>
    <col min="266" max="269" width="17.28515625" bestFit="1" customWidth="1"/>
    <col min="270" max="273" width="24.42578125" bestFit="1" customWidth="1"/>
    <col min="274" max="277" width="17.28515625" bestFit="1" customWidth="1"/>
    <col min="278" max="281" width="24.42578125" bestFit="1" customWidth="1"/>
    <col min="282" max="285" width="17.28515625" bestFit="1" customWidth="1"/>
    <col min="286" max="289" width="24.42578125" bestFit="1" customWidth="1"/>
    <col min="290" max="293" width="17.28515625" bestFit="1" customWidth="1"/>
    <col min="294" max="297" width="24.42578125" bestFit="1" customWidth="1"/>
    <col min="298" max="301" width="17.28515625" bestFit="1" customWidth="1"/>
    <col min="302" max="305" width="24.42578125" bestFit="1" customWidth="1"/>
    <col min="306" max="309" width="17.28515625" bestFit="1" customWidth="1"/>
    <col min="310" max="313" width="24.42578125" bestFit="1" customWidth="1"/>
    <col min="314" max="317" width="17.28515625" bestFit="1" customWidth="1"/>
    <col min="318" max="321" width="24.42578125" bestFit="1" customWidth="1"/>
    <col min="322" max="325" width="17.28515625" bestFit="1" customWidth="1"/>
    <col min="326" max="329" width="24.42578125" bestFit="1" customWidth="1"/>
    <col min="330" max="333" width="17.28515625" bestFit="1" customWidth="1"/>
    <col min="334" max="337" width="24.42578125" bestFit="1" customWidth="1"/>
    <col min="338" max="341" width="17.28515625" bestFit="1" customWidth="1"/>
    <col min="342" max="345" width="24.42578125" bestFit="1" customWidth="1"/>
    <col min="346" max="349" width="17.28515625" bestFit="1" customWidth="1"/>
    <col min="350" max="353" width="25.5703125" bestFit="1" customWidth="1"/>
    <col min="354" max="357" width="17.28515625" bestFit="1" customWidth="1"/>
    <col min="358" max="361" width="25.5703125" bestFit="1" customWidth="1"/>
    <col min="362" max="365" width="17.28515625" bestFit="1" customWidth="1"/>
    <col min="366" max="369" width="25.5703125" bestFit="1" customWidth="1"/>
    <col min="370" max="373" width="22.5703125" bestFit="1" customWidth="1"/>
    <col min="374" max="377" width="22.28515625" bestFit="1" customWidth="1"/>
    <col min="378" max="379" width="17.28515625" bestFit="1" customWidth="1"/>
    <col min="380" max="385" width="24.42578125" bestFit="1" customWidth="1"/>
    <col min="386" max="388" width="17.28515625" bestFit="1" customWidth="1"/>
    <col min="389" max="394" width="25.5703125" bestFit="1" customWidth="1"/>
    <col min="395" max="397" width="17.28515625" bestFit="1" customWidth="1"/>
    <col min="398" max="403" width="25.5703125" bestFit="1" customWidth="1"/>
    <col min="404" max="406" width="17.28515625" bestFit="1" customWidth="1"/>
    <col min="407" max="412" width="25.5703125" bestFit="1" customWidth="1"/>
    <col min="413" max="415" width="22.5703125" bestFit="1" customWidth="1"/>
    <col min="416" max="418" width="22.28515625" bestFit="1" customWidth="1"/>
  </cols>
  <sheetData>
    <row r="3" spans="1:5" x14ac:dyDescent="0.25">
      <c r="B3" s="12" t="s">
        <v>367</v>
      </c>
    </row>
    <row r="4" spans="1:5" x14ac:dyDescent="0.25">
      <c r="A4" s="12" t="s">
        <v>358</v>
      </c>
      <c r="B4" t="s">
        <v>74</v>
      </c>
      <c r="C4" t="s">
        <v>102</v>
      </c>
      <c r="D4" t="s">
        <v>103</v>
      </c>
      <c r="E4" t="s">
        <v>359</v>
      </c>
    </row>
    <row r="5" spans="1:5" x14ac:dyDescent="0.25">
      <c r="A5" s="13" t="s">
        <v>368</v>
      </c>
      <c r="B5" s="11"/>
      <c r="C5" s="11"/>
      <c r="D5" s="11"/>
      <c r="E5" s="11"/>
    </row>
    <row r="6" spans="1:5" x14ac:dyDescent="0.25">
      <c r="A6" s="14" t="s">
        <v>46</v>
      </c>
      <c r="B6" s="11">
        <v>4435.333333333333</v>
      </c>
      <c r="C6" s="11">
        <v>3681.6666666666665</v>
      </c>
      <c r="D6" s="11">
        <v>4336.333333333333</v>
      </c>
      <c r="E6" s="11">
        <v>12453.333333333332</v>
      </c>
    </row>
    <row r="7" spans="1:5" x14ac:dyDescent="0.25">
      <c r="A7" s="14" t="s">
        <v>58</v>
      </c>
      <c r="B7" s="11">
        <v>4873</v>
      </c>
      <c r="C7" s="11">
        <v>3960.6666666666665</v>
      </c>
      <c r="D7" s="11">
        <v>4606.666666666667</v>
      </c>
      <c r="E7" s="11">
        <v>13440.333333333332</v>
      </c>
    </row>
    <row r="8" spans="1:5" x14ac:dyDescent="0.25">
      <c r="A8" s="14" t="s">
        <v>50</v>
      </c>
      <c r="B8" s="11">
        <v>1716.3333333333333</v>
      </c>
      <c r="C8" s="11">
        <v>1428.3333333333333</v>
      </c>
      <c r="D8" s="11">
        <v>1754.3333333333333</v>
      </c>
      <c r="E8" s="11">
        <v>4899</v>
      </c>
    </row>
    <row r="9" spans="1:5" x14ac:dyDescent="0.25">
      <c r="A9" s="14" t="s">
        <v>37</v>
      </c>
      <c r="B9" s="11">
        <v>2247</v>
      </c>
      <c r="C9" s="11">
        <v>1877.3333333333333</v>
      </c>
      <c r="D9" s="11">
        <v>1890.6666666666667</v>
      </c>
      <c r="E9" s="11">
        <v>6015</v>
      </c>
    </row>
    <row r="10" spans="1:5" x14ac:dyDescent="0.25">
      <c r="A10" s="14" t="s">
        <v>60</v>
      </c>
      <c r="B10" s="11">
        <v>972.66666666666663</v>
      </c>
      <c r="C10" s="11">
        <v>810</v>
      </c>
      <c r="D10" s="11">
        <v>865.33333333333337</v>
      </c>
      <c r="E10" s="11">
        <v>2648</v>
      </c>
    </row>
    <row r="11" spans="1:5" x14ac:dyDescent="0.25">
      <c r="A11" s="14" t="s">
        <v>35</v>
      </c>
      <c r="B11" s="11">
        <v>13765</v>
      </c>
      <c r="C11" s="11">
        <v>11862.666666666666</v>
      </c>
      <c r="D11" s="11">
        <v>13030.666666666666</v>
      </c>
      <c r="E11" s="11">
        <v>38658.333333333328</v>
      </c>
    </row>
    <row r="12" spans="1:5" x14ac:dyDescent="0.25">
      <c r="A12" s="14" t="s">
        <v>31</v>
      </c>
      <c r="B12" s="11">
        <v>14589.666666666666</v>
      </c>
      <c r="C12" s="11">
        <v>12122</v>
      </c>
      <c r="D12" s="11">
        <v>13605.333333333334</v>
      </c>
      <c r="E12" s="11">
        <v>40317</v>
      </c>
    </row>
    <row r="13" spans="1:5" x14ac:dyDescent="0.25">
      <c r="A13" s="14" t="s">
        <v>54</v>
      </c>
      <c r="B13" s="11">
        <v>4646.333333333333</v>
      </c>
      <c r="C13" s="11">
        <v>4191</v>
      </c>
      <c r="D13" s="11">
        <v>4655</v>
      </c>
      <c r="E13" s="11">
        <v>13492.333333333332</v>
      </c>
    </row>
    <row r="14" spans="1:5" x14ac:dyDescent="0.25">
      <c r="A14" s="14" t="s">
        <v>48</v>
      </c>
      <c r="B14" s="11">
        <v>4733</v>
      </c>
      <c r="C14" s="11">
        <v>3858.3333333333335</v>
      </c>
      <c r="D14" s="11">
        <v>4508</v>
      </c>
      <c r="E14" s="11">
        <v>13099.333333333334</v>
      </c>
    </row>
    <row r="15" spans="1:5" x14ac:dyDescent="0.25">
      <c r="A15" s="14" t="s">
        <v>40</v>
      </c>
      <c r="B15" s="11">
        <v>2597</v>
      </c>
      <c r="C15" s="11">
        <v>2286.3333333333335</v>
      </c>
      <c r="D15" s="11">
        <v>2475.6666666666665</v>
      </c>
      <c r="E15" s="11">
        <v>7359</v>
      </c>
    </row>
    <row r="16" spans="1:5" x14ac:dyDescent="0.25">
      <c r="A16" s="14" t="s">
        <v>13</v>
      </c>
      <c r="B16" s="11">
        <v>4946.666666666667</v>
      </c>
      <c r="C16" s="11">
        <v>4418</v>
      </c>
      <c r="D16" s="11">
        <v>4764.666666666667</v>
      </c>
      <c r="E16" s="11">
        <v>14129.333333333336</v>
      </c>
    </row>
    <row r="17" spans="1:5" x14ac:dyDescent="0.25">
      <c r="A17" s="14" t="s">
        <v>21</v>
      </c>
      <c r="B17" s="11">
        <v>8273.3333333333339</v>
      </c>
      <c r="C17" s="11">
        <v>7562</v>
      </c>
      <c r="D17" s="11">
        <v>8192.6666666666661</v>
      </c>
      <c r="E17" s="11">
        <v>24028</v>
      </c>
    </row>
    <row r="18" spans="1:5" x14ac:dyDescent="0.25">
      <c r="A18" s="14" t="s">
        <v>42</v>
      </c>
      <c r="B18" s="11">
        <v>3385</v>
      </c>
      <c r="C18" s="11">
        <v>2859</v>
      </c>
      <c r="D18" s="11">
        <v>3244.3333333333335</v>
      </c>
      <c r="E18" s="11">
        <v>9488.3333333333339</v>
      </c>
    </row>
    <row r="19" spans="1:5" x14ac:dyDescent="0.25">
      <c r="A19" s="14" t="s">
        <v>23</v>
      </c>
      <c r="B19" s="11">
        <v>12287.666666666666</v>
      </c>
      <c r="C19" s="11">
        <v>9737.3333333333339</v>
      </c>
      <c r="D19" s="11">
        <v>10959.333333333334</v>
      </c>
      <c r="E19" s="11">
        <v>32984.333333333336</v>
      </c>
    </row>
    <row r="20" spans="1:5" x14ac:dyDescent="0.25">
      <c r="A20" s="14" t="s">
        <v>28</v>
      </c>
      <c r="B20" s="11">
        <v>3793</v>
      </c>
      <c r="C20" s="11">
        <v>3357</v>
      </c>
      <c r="D20" s="11">
        <v>3627.6666666666665</v>
      </c>
      <c r="E20" s="11">
        <v>10777.666666666666</v>
      </c>
    </row>
    <row r="21" spans="1:5" x14ac:dyDescent="0.25">
      <c r="A21" s="13" t="s">
        <v>370</v>
      </c>
      <c r="B21" s="11"/>
      <c r="C21" s="11"/>
      <c r="D21" s="11"/>
      <c r="E21" s="11"/>
    </row>
    <row r="22" spans="1:5" x14ac:dyDescent="0.25">
      <c r="A22" s="14" t="s">
        <v>46</v>
      </c>
      <c r="B22" s="11">
        <v>4547.1111111111104</v>
      </c>
      <c r="C22" s="11">
        <v>3719.5555555555552</v>
      </c>
      <c r="D22" s="11">
        <v>4487.4444444444443</v>
      </c>
      <c r="E22" s="11">
        <v>12754.111111111109</v>
      </c>
    </row>
    <row r="23" spans="1:5" x14ac:dyDescent="0.25">
      <c r="A23" s="14" t="s">
        <v>58</v>
      </c>
      <c r="B23" s="11">
        <v>4954.666666666667</v>
      </c>
      <c r="C23" s="11">
        <v>4031.5555555555552</v>
      </c>
      <c r="D23" s="11">
        <v>4698.2222222222226</v>
      </c>
      <c r="E23" s="11">
        <v>13684.444444444445</v>
      </c>
    </row>
    <row r="24" spans="1:5" x14ac:dyDescent="0.25">
      <c r="A24" s="14" t="s">
        <v>50</v>
      </c>
      <c r="B24" s="11">
        <v>1792.1111111111111</v>
      </c>
      <c r="C24" s="11">
        <v>1463.1111111111111</v>
      </c>
      <c r="D24" s="11">
        <v>1758.1111111111111</v>
      </c>
      <c r="E24" s="11">
        <v>5013.333333333333</v>
      </c>
    </row>
    <row r="25" spans="1:5" x14ac:dyDescent="0.25">
      <c r="A25" s="14" t="s">
        <v>37</v>
      </c>
      <c r="B25" s="11">
        <v>2283.6666666666665</v>
      </c>
      <c r="C25" s="11">
        <v>1942.1111111111111</v>
      </c>
      <c r="D25" s="11">
        <v>1963.5555555555557</v>
      </c>
      <c r="E25" s="11">
        <v>6189.333333333333</v>
      </c>
    </row>
    <row r="26" spans="1:5" x14ac:dyDescent="0.25">
      <c r="A26" s="14" t="s">
        <v>60</v>
      </c>
      <c r="B26" s="11">
        <v>980.8888888888888</v>
      </c>
      <c r="C26" s="11">
        <v>818.66666666666663</v>
      </c>
      <c r="D26" s="11">
        <v>880.1111111111112</v>
      </c>
      <c r="E26" s="11">
        <v>2679.6666666666665</v>
      </c>
    </row>
    <row r="27" spans="1:5" x14ac:dyDescent="0.25">
      <c r="A27" s="14" t="s">
        <v>35</v>
      </c>
      <c r="B27" s="11">
        <v>14162.666666666666</v>
      </c>
      <c r="C27" s="11">
        <v>12446.222222222221</v>
      </c>
      <c r="D27" s="11">
        <v>13397.888888888889</v>
      </c>
      <c r="E27" s="11">
        <v>40006.777777777774</v>
      </c>
    </row>
    <row r="28" spans="1:5" x14ac:dyDescent="0.25">
      <c r="A28" s="14" t="s">
        <v>31</v>
      </c>
      <c r="B28" s="11">
        <v>15173.222222222221</v>
      </c>
      <c r="C28" s="11">
        <v>12062.666666666666</v>
      </c>
      <c r="D28" s="11">
        <v>14321.111111111111</v>
      </c>
      <c r="E28" s="11">
        <v>41557</v>
      </c>
    </row>
    <row r="29" spans="1:5" x14ac:dyDescent="0.25">
      <c r="A29" s="14" t="s">
        <v>54</v>
      </c>
      <c r="B29" s="11">
        <v>4784.4444444444443</v>
      </c>
      <c r="C29" s="11">
        <v>4409.666666666667</v>
      </c>
      <c r="D29" s="11">
        <v>4765.333333333333</v>
      </c>
      <c r="E29" s="11">
        <v>13959.444444444445</v>
      </c>
    </row>
    <row r="30" spans="1:5" x14ac:dyDescent="0.25">
      <c r="A30" s="14" t="s">
        <v>48</v>
      </c>
      <c r="B30" s="11">
        <v>4805.666666666667</v>
      </c>
      <c r="C30" s="11">
        <v>4061.4444444444448</v>
      </c>
      <c r="D30" s="11">
        <v>4687.333333333333</v>
      </c>
      <c r="E30" s="11">
        <v>13554.444444444445</v>
      </c>
    </row>
    <row r="31" spans="1:5" x14ac:dyDescent="0.25">
      <c r="A31" s="14" t="s">
        <v>40</v>
      </c>
      <c r="B31" s="11">
        <v>2618.3333333333335</v>
      </c>
      <c r="C31" s="11">
        <v>2412.1111111111113</v>
      </c>
      <c r="D31" s="11">
        <v>2558.2222222222222</v>
      </c>
      <c r="E31" s="11">
        <v>7588.6666666666679</v>
      </c>
    </row>
    <row r="32" spans="1:5" x14ac:dyDescent="0.25">
      <c r="A32" s="14" t="s">
        <v>13</v>
      </c>
      <c r="B32" s="11">
        <v>5214.2222222222226</v>
      </c>
      <c r="C32" s="11">
        <v>4676.333333333333</v>
      </c>
      <c r="D32" s="11">
        <v>4836.2222222222226</v>
      </c>
      <c r="E32" s="11">
        <v>14726.777777777777</v>
      </c>
    </row>
    <row r="33" spans="1:5" x14ac:dyDescent="0.25">
      <c r="A33" s="14" t="s">
        <v>21</v>
      </c>
      <c r="B33" s="11">
        <v>8436.4444444444453</v>
      </c>
      <c r="C33" s="11">
        <v>7760.666666666667</v>
      </c>
      <c r="D33" s="11">
        <v>8727.2222222222208</v>
      </c>
      <c r="E33" s="11">
        <v>24924.333333333336</v>
      </c>
    </row>
    <row r="34" spans="1:5" x14ac:dyDescent="0.25">
      <c r="A34" s="14" t="s">
        <v>42</v>
      </c>
      <c r="B34" s="11">
        <v>3503.3333333333335</v>
      </c>
      <c r="C34" s="11">
        <v>3033.6666666666665</v>
      </c>
      <c r="D34" s="11">
        <v>3375.7777777777778</v>
      </c>
      <c r="E34" s="11">
        <v>9912.7777777777774</v>
      </c>
    </row>
    <row r="35" spans="1:5" x14ac:dyDescent="0.25">
      <c r="A35" s="14" t="s">
        <v>23</v>
      </c>
      <c r="B35" s="11">
        <v>12551.222222222221</v>
      </c>
      <c r="C35" s="11">
        <v>9957.1111111111113</v>
      </c>
      <c r="D35" s="11">
        <v>11616.777777777779</v>
      </c>
      <c r="E35" s="11">
        <v>34125.111111111109</v>
      </c>
    </row>
    <row r="36" spans="1:5" x14ac:dyDescent="0.25">
      <c r="A36" s="14" t="s">
        <v>28</v>
      </c>
      <c r="B36" s="11">
        <v>3947</v>
      </c>
      <c r="C36" s="11">
        <v>3434</v>
      </c>
      <c r="D36" s="11">
        <v>3732.5555555555552</v>
      </c>
      <c r="E36" s="11">
        <v>11113.555555555555</v>
      </c>
    </row>
    <row r="37" spans="1:5" x14ac:dyDescent="0.25">
      <c r="A37" s="13" t="s">
        <v>374</v>
      </c>
      <c r="B37" s="11"/>
      <c r="C37" s="11"/>
      <c r="D37" s="11"/>
      <c r="E37" s="11"/>
    </row>
    <row r="38" spans="1:5" x14ac:dyDescent="0.25">
      <c r="A38" s="14" t="s">
        <v>46</v>
      </c>
      <c r="B38" s="11">
        <v>4532.8148148148139</v>
      </c>
      <c r="C38" s="11">
        <v>3689.4074074074069</v>
      </c>
      <c r="D38" s="11">
        <v>4510.9259259259261</v>
      </c>
      <c r="E38" s="11">
        <v>12733.148148148146</v>
      </c>
    </row>
    <row r="39" spans="1:5" x14ac:dyDescent="0.25">
      <c r="A39" s="14" t="s">
        <v>58</v>
      </c>
      <c r="B39" s="11">
        <v>5125.5555555555557</v>
      </c>
      <c r="C39" s="11">
        <v>4131.4074074074069</v>
      </c>
      <c r="D39" s="11">
        <v>4881.6296296296305</v>
      </c>
      <c r="E39" s="11">
        <v>14138.592592592595</v>
      </c>
    </row>
    <row r="40" spans="1:5" x14ac:dyDescent="0.25">
      <c r="A40" s="14" t="s">
        <v>50</v>
      </c>
      <c r="B40" s="11">
        <v>1768.148148148148</v>
      </c>
      <c r="C40" s="11">
        <v>1463.8148148148148</v>
      </c>
      <c r="D40" s="11">
        <v>1768.148148148148</v>
      </c>
      <c r="E40" s="11">
        <v>5000.1111111111104</v>
      </c>
    </row>
    <row r="41" spans="1:5" x14ac:dyDescent="0.25">
      <c r="A41" s="14" t="s">
        <v>37</v>
      </c>
      <c r="B41" s="11">
        <v>2306.5555555555552</v>
      </c>
      <c r="C41" s="11">
        <v>2012.8148148148148</v>
      </c>
      <c r="D41" s="11">
        <v>1968.7407407407409</v>
      </c>
      <c r="E41" s="11">
        <v>6288.1111111111113</v>
      </c>
    </row>
    <row r="42" spans="1:5" x14ac:dyDescent="0.25">
      <c r="A42" s="14" t="s">
        <v>60</v>
      </c>
      <c r="B42" s="11">
        <v>974.51851851851836</v>
      </c>
      <c r="C42" s="11">
        <v>811.55555555555554</v>
      </c>
      <c r="D42" s="11">
        <v>874.14814814814827</v>
      </c>
      <c r="E42" s="11">
        <v>2660.2222222222222</v>
      </c>
    </row>
    <row r="43" spans="1:5" x14ac:dyDescent="0.25">
      <c r="A43" s="14" t="s">
        <v>35</v>
      </c>
      <c r="B43" s="11">
        <v>13782.222222222221</v>
      </c>
      <c r="C43" s="11">
        <v>12369.296296296294</v>
      </c>
      <c r="D43" s="11">
        <v>13370.851851851852</v>
      </c>
      <c r="E43" s="11">
        <v>39522.370370370365</v>
      </c>
    </row>
    <row r="44" spans="1:5" x14ac:dyDescent="0.25">
      <c r="A44" s="14" t="s">
        <v>31</v>
      </c>
      <c r="B44" s="11">
        <v>14654.296296296294</v>
      </c>
      <c r="C44" s="11">
        <v>12268.222222222221</v>
      </c>
      <c r="D44" s="11">
        <v>14089.481481481482</v>
      </c>
      <c r="E44" s="11">
        <v>41012</v>
      </c>
    </row>
    <row r="45" spans="1:5" x14ac:dyDescent="0.25">
      <c r="A45" s="14" t="s">
        <v>54</v>
      </c>
      <c r="B45" s="11">
        <v>4795.5925925925922</v>
      </c>
      <c r="C45" s="11">
        <v>4485.5555555555557</v>
      </c>
      <c r="D45" s="11">
        <v>4807.1111111111104</v>
      </c>
      <c r="E45" s="11">
        <v>14088.259259259259</v>
      </c>
    </row>
    <row r="46" spans="1:5" x14ac:dyDescent="0.25">
      <c r="A46" s="14" t="s">
        <v>48</v>
      </c>
      <c r="B46" s="11">
        <v>4838.5555555555557</v>
      </c>
      <c r="C46" s="11">
        <v>4049.5925925925931</v>
      </c>
      <c r="D46" s="11">
        <v>4804.4444444444443</v>
      </c>
      <c r="E46" s="11">
        <v>13692.592592592595</v>
      </c>
    </row>
    <row r="47" spans="1:5" x14ac:dyDescent="0.25">
      <c r="A47" s="14" t="s">
        <v>40</v>
      </c>
      <c r="B47" s="11">
        <v>2581.4444444444448</v>
      </c>
      <c r="C47" s="11">
        <v>2471.4814814814818</v>
      </c>
      <c r="D47" s="11">
        <v>2615.962962962963</v>
      </c>
      <c r="E47" s="11">
        <v>7668.8888888888905</v>
      </c>
    </row>
    <row r="48" spans="1:5" x14ac:dyDescent="0.25">
      <c r="A48" s="14" t="s">
        <v>13</v>
      </c>
      <c r="B48" s="11">
        <v>5106.2962962962965</v>
      </c>
      <c r="C48" s="11">
        <v>4733.7777777777774</v>
      </c>
      <c r="D48" s="11">
        <v>4824.9629629629635</v>
      </c>
      <c r="E48" s="11">
        <v>14665.037037037036</v>
      </c>
    </row>
    <row r="49" spans="1:5" x14ac:dyDescent="0.25">
      <c r="A49" s="14" t="s">
        <v>21</v>
      </c>
      <c r="B49" s="11">
        <v>8486.2592592592609</v>
      </c>
      <c r="C49" s="11">
        <v>7842.8888888888896</v>
      </c>
      <c r="D49" s="11">
        <v>8672.9629629629617</v>
      </c>
      <c r="E49" s="11">
        <v>25002.111111111109</v>
      </c>
    </row>
    <row r="50" spans="1:5" x14ac:dyDescent="0.25">
      <c r="A50" s="14" t="s">
        <v>42</v>
      </c>
      <c r="B50" s="11">
        <v>3411.7777777777778</v>
      </c>
      <c r="C50" s="11">
        <v>3072.8888888888887</v>
      </c>
      <c r="D50" s="11">
        <v>3368.037037037037</v>
      </c>
      <c r="E50" s="11">
        <v>9852.7037037037026</v>
      </c>
    </row>
    <row r="51" spans="1:5" x14ac:dyDescent="0.25">
      <c r="A51" s="14" t="s">
        <v>23</v>
      </c>
      <c r="B51" s="11">
        <v>12490.296296296294</v>
      </c>
      <c r="C51" s="11">
        <v>9796.4814814814818</v>
      </c>
      <c r="D51" s="11">
        <v>11375.370370370372</v>
      </c>
      <c r="E51" s="11">
        <v>33662.148148148146</v>
      </c>
    </row>
    <row r="52" spans="1:5" x14ac:dyDescent="0.25">
      <c r="A52" s="14" t="s">
        <v>28</v>
      </c>
      <c r="B52" s="11">
        <v>3898.6666666666665</v>
      </c>
      <c r="C52" s="11">
        <v>3421</v>
      </c>
      <c r="D52" s="11">
        <v>3752.4074074074069</v>
      </c>
      <c r="E52" s="11">
        <v>11072.074074074073</v>
      </c>
    </row>
    <row r="53" spans="1:5" x14ac:dyDescent="0.25">
      <c r="A53" s="13" t="s">
        <v>372</v>
      </c>
      <c r="B53" s="11"/>
      <c r="C53" s="11"/>
      <c r="D53" s="11"/>
      <c r="E53" s="11"/>
    </row>
    <row r="54" spans="1:5" x14ac:dyDescent="0.25">
      <c r="A54" s="14" t="s">
        <v>46</v>
      </c>
      <c r="B54" s="11">
        <v>4505.0864197530855</v>
      </c>
      <c r="C54" s="11">
        <v>3696.8765432098758</v>
      </c>
      <c r="D54" s="11">
        <v>4444.9012345679012</v>
      </c>
      <c r="E54" s="11">
        <v>12646.864197530864</v>
      </c>
    </row>
    <row r="55" spans="1:5" x14ac:dyDescent="0.25">
      <c r="A55" s="14" t="s">
        <v>58</v>
      </c>
      <c r="B55" s="11">
        <v>4984.4074074074078</v>
      </c>
      <c r="C55" s="11">
        <v>4041.2098765432092</v>
      </c>
      <c r="D55" s="11">
        <v>4728.8395061728406</v>
      </c>
      <c r="E55" s="11">
        <v>13754.456790123459</v>
      </c>
    </row>
    <row r="56" spans="1:5" x14ac:dyDescent="0.25">
      <c r="A56" s="14" t="s">
        <v>50</v>
      </c>
      <c r="B56" s="11">
        <v>1758.864197530864</v>
      </c>
      <c r="C56" s="11">
        <v>1451.7530864197531</v>
      </c>
      <c r="D56" s="11">
        <v>1760.1975308641975</v>
      </c>
      <c r="E56" s="11">
        <v>4970.8148148148148</v>
      </c>
    </row>
    <row r="57" spans="1:5" x14ac:dyDescent="0.25">
      <c r="A57" s="14" t="s">
        <v>37</v>
      </c>
      <c r="B57" s="11">
        <v>2279.0740740740735</v>
      </c>
      <c r="C57" s="11">
        <v>1944.0864197530864</v>
      </c>
      <c r="D57" s="11">
        <v>1940.9876543209878</v>
      </c>
      <c r="E57" s="11">
        <v>6164.1481481481469</v>
      </c>
    </row>
    <row r="58" spans="1:5" x14ac:dyDescent="0.25">
      <c r="A58" s="14" t="s">
        <v>60</v>
      </c>
      <c r="B58" s="11">
        <v>976.0246913580246</v>
      </c>
      <c r="C58" s="11">
        <v>813.40740740740739</v>
      </c>
      <c r="D58" s="11">
        <v>873.19753086419769</v>
      </c>
      <c r="E58" s="11">
        <v>2662.6296296296296</v>
      </c>
    </row>
    <row r="59" spans="1:5" x14ac:dyDescent="0.25">
      <c r="A59" s="14" t="s">
        <v>35</v>
      </c>
      <c r="B59" s="11">
        <v>13903.296296296294</v>
      </c>
      <c r="C59" s="11">
        <v>12226.061728395061</v>
      </c>
      <c r="D59" s="11">
        <v>13266.46913580247</v>
      </c>
      <c r="E59" s="11">
        <v>39395.827160493827</v>
      </c>
    </row>
    <row r="60" spans="1:5" x14ac:dyDescent="0.25">
      <c r="A60" s="14" t="s">
        <v>31</v>
      </c>
      <c r="B60" s="11">
        <v>14805.728395061727</v>
      </c>
      <c r="C60" s="11">
        <v>12150.962962962962</v>
      </c>
      <c r="D60" s="11">
        <v>14005.308641975309</v>
      </c>
      <c r="E60" s="11">
        <v>40962</v>
      </c>
    </row>
    <row r="61" spans="1:5" x14ac:dyDescent="0.25">
      <c r="A61" s="14" t="s">
        <v>54</v>
      </c>
      <c r="B61" s="11">
        <v>4742.1234567901229</v>
      </c>
      <c r="C61" s="11">
        <v>4362.0740740740739</v>
      </c>
      <c r="D61" s="11">
        <v>4742.4814814814808</v>
      </c>
      <c r="E61" s="11">
        <v>13846.679012345678</v>
      </c>
    </row>
    <row r="62" spans="1:5" x14ac:dyDescent="0.25">
      <c r="A62" s="14" t="s">
        <v>48</v>
      </c>
      <c r="B62" s="11">
        <v>4792.4074074074078</v>
      </c>
      <c r="C62" s="11">
        <v>3989.7901234567908</v>
      </c>
      <c r="D62" s="11">
        <v>4666.5925925925922</v>
      </c>
      <c r="E62" s="11">
        <v>13448.790123456791</v>
      </c>
    </row>
    <row r="63" spans="1:5" x14ac:dyDescent="0.25">
      <c r="A63" s="14" t="s">
        <v>40</v>
      </c>
      <c r="B63" s="11">
        <v>2598.9259259259265</v>
      </c>
      <c r="C63" s="11">
        <v>2389.9753086419755</v>
      </c>
      <c r="D63" s="11">
        <v>2549.9506172839506</v>
      </c>
      <c r="E63" s="11">
        <v>7538.8518518518522</v>
      </c>
    </row>
    <row r="64" spans="1:5" x14ac:dyDescent="0.25">
      <c r="A64" s="14" t="s">
        <v>13</v>
      </c>
      <c r="B64" s="11">
        <v>5089.0617283950623</v>
      </c>
      <c r="C64" s="11">
        <v>4609.3703703703695</v>
      </c>
      <c r="D64" s="11">
        <v>4808.617283950618</v>
      </c>
      <c r="E64" s="11">
        <v>14507.04938271605</v>
      </c>
    </row>
    <row r="65" spans="1:5" x14ac:dyDescent="0.25">
      <c r="A65" s="14" t="s">
        <v>21</v>
      </c>
      <c r="B65" s="11">
        <v>8398.6790123456813</v>
      </c>
      <c r="C65" s="11">
        <v>7721.8518518518531</v>
      </c>
      <c r="D65" s="11">
        <v>8530.9506172839483</v>
      </c>
      <c r="E65" s="11">
        <v>24651.481481481482</v>
      </c>
    </row>
    <row r="66" spans="1:5" x14ac:dyDescent="0.25">
      <c r="A66" s="14" t="s">
        <v>42</v>
      </c>
      <c r="B66" s="11">
        <v>3433.3703703703704</v>
      </c>
      <c r="C66" s="11">
        <v>2988.5185185185182</v>
      </c>
      <c r="D66" s="11">
        <v>3329.3827160493825</v>
      </c>
      <c r="E66" s="11">
        <v>9751.2716049382707</v>
      </c>
    </row>
    <row r="67" spans="1:5" x14ac:dyDescent="0.25">
      <c r="A67" s="14" t="s">
        <v>23</v>
      </c>
      <c r="B67" s="11">
        <v>12443.061728395061</v>
      </c>
      <c r="C67" s="11">
        <v>9830.308641975309</v>
      </c>
      <c r="D67" s="11">
        <v>11317.160493827163</v>
      </c>
      <c r="E67" s="11">
        <v>33590.530864197535</v>
      </c>
    </row>
    <row r="68" spans="1:5" x14ac:dyDescent="0.25">
      <c r="A68" s="14" t="s">
        <v>28</v>
      </c>
      <c r="B68" s="11">
        <v>3879.5555555555552</v>
      </c>
      <c r="C68" s="11">
        <v>3404</v>
      </c>
      <c r="D68" s="11">
        <v>3704.2098765432092</v>
      </c>
      <c r="E68" s="11">
        <v>10987.765432098764</v>
      </c>
    </row>
    <row r="69" spans="1:5" x14ac:dyDescent="0.25">
      <c r="A69" s="13" t="s">
        <v>376</v>
      </c>
      <c r="B69" s="11"/>
      <c r="C69" s="11"/>
      <c r="D69" s="11"/>
      <c r="E69" s="11"/>
    </row>
    <row r="70" spans="1:5" x14ac:dyDescent="0.25">
      <c r="A70" s="14" t="s">
        <v>46</v>
      </c>
      <c r="B70" s="11">
        <v>4528.3374485596696</v>
      </c>
      <c r="C70" s="11">
        <v>3701.9465020576122</v>
      </c>
      <c r="D70" s="11">
        <v>4481.0905349794239</v>
      </c>
      <c r="E70" s="11">
        <v>12711.374485596705</v>
      </c>
    </row>
    <row r="71" spans="1:5" x14ac:dyDescent="0.25">
      <c r="A71" s="14" t="s">
        <v>58</v>
      </c>
      <c r="B71" s="11">
        <v>5021.5432098765441</v>
      </c>
      <c r="C71" s="11">
        <v>4068.0576131687235</v>
      </c>
      <c r="D71" s="11">
        <v>4769.5637860082315</v>
      </c>
      <c r="E71" s="11">
        <v>13859.1646090535</v>
      </c>
    </row>
    <row r="72" spans="1:5" x14ac:dyDescent="0.25">
      <c r="A72" s="14" t="s">
        <v>50</v>
      </c>
      <c r="B72" s="11">
        <v>1773.0411522633742</v>
      </c>
      <c r="C72" s="11">
        <v>1459.5596707818931</v>
      </c>
      <c r="D72" s="11">
        <v>1762.1522633744855</v>
      </c>
      <c r="E72" s="11">
        <v>4994.7530864197524</v>
      </c>
    </row>
    <row r="73" spans="1:5" x14ac:dyDescent="0.25">
      <c r="A73" s="14" t="s">
        <v>37</v>
      </c>
      <c r="B73" s="11">
        <v>2289.7654320987654</v>
      </c>
      <c r="C73" s="11">
        <v>1966.3374485596707</v>
      </c>
      <c r="D73" s="11">
        <v>1957.7613168724281</v>
      </c>
      <c r="E73" s="11">
        <v>6213.8641975308647</v>
      </c>
    </row>
    <row r="74" spans="1:5" x14ac:dyDescent="0.25">
      <c r="A74" s="14" t="s">
        <v>60</v>
      </c>
      <c r="B74" s="11">
        <v>977.14403292181066</v>
      </c>
      <c r="C74" s="11">
        <v>814.54320987654319</v>
      </c>
      <c r="D74" s="11">
        <v>875.81893004115238</v>
      </c>
      <c r="E74" s="11">
        <v>2667.5061728395062</v>
      </c>
    </row>
    <row r="75" spans="1:5" x14ac:dyDescent="0.25">
      <c r="A75" s="14" t="s">
        <v>35</v>
      </c>
      <c r="B75" s="11">
        <v>13949.395061728394</v>
      </c>
      <c r="C75" s="11">
        <v>12347.193415637857</v>
      </c>
      <c r="D75" s="11">
        <v>13345.069958847736</v>
      </c>
      <c r="E75" s="11">
        <v>39641.658436213984</v>
      </c>
    </row>
    <row r="76" spans="1:5" x14ac:dyDescent="0.25">
      <c r="A76" s="14" t="s">
        <v>31</v>
      </c>
      <c r="B76" s="11">
        <v>14877.748971193412</v>
      </c>
      <c r="C76" s="11">
        <v>12160.617283950616</v>
      </c>
      <c r="D76" s="11">
        <v>14138.633744855966</v>
      </c>
      <c r="E76" s="11">
        <v>41176.999999999993</v>
      </c>
    </row>
    <row r="77" spans="1:5" x14ac:dyDescent="0.25">
      <c r="A77" s="14" t="s">
        <v>54</v>
      </c>
      <c r="B77" s="11">
        <v>4774.0534979423865</v>
      </c>
      <c r="C77" s="11">
        <v>4419.0987654320988</v>
      </c>
      <c r="D77" s="11">
        <v>4771.6419753086411</v>
      </c>
      <c r="E77" s="11">
        <v>13964.794238683127</v>
      </c>
    </row>
    <row r="78" spans="1:5" x14ac:dyDescent="0.25">
      <c r="A78" s="14" t="s">
        <v>48</v>
      </c>
      <c r="B78" s="11">
        <v>4812.2098765432102</v>
      </c>
      <c r="C78" s="11">
        <v>4033.609053497943</v>
      </c>
      <c r="D78" s="11">
        <v>4719.4567901234559</v>
      </c>
      <c r="E78" s="11">
        <v>13565.275720164609</v>
      </c>
    </row>
    <row r="79" spans="1:5" x14ac:dyDescent="0.25">
      <c r="A79" s="14" t="s">
        <v>40</v>
      </c>
      <c r="B79" s="11">
        <v>2599.5679012345681</v>
      </c>
      <c r="C79" s="11">
        <v>2424.5226337448562</v>
      </c>
      <c r="D79" s="11">
        <v>2574.7119341563789</v>
      </c>
      <c r="E79" s="11">
        <v>7598.8024691358041</v>
      </c>
    </row>
    <row r="80" spans="1:5" x14ac:dyDescent="0.25">
      <c r="A80" s="14" t="s">
        <v>13</v>
      </c>
      <c r="B80" s="11">
        <v>5136.5267489711941</v>
      </c>
      <c r="C80" s="11">
        <v>4673.1604938271594</v>
      </c>
      <c r="D80" s="11">
        <v>4823.267489711935</v>
      </c>
      <c r="E80" s="11">
        <v>14632.95473251029</v>
      </c>
    </row>
    <row r="81" spans="1:5" x14ac:dyDescent="0.25">
      <c r="A81" s="14" t="s">
        <v>21</v>
      </c>
      <c r="B81" s="11">
        <v>8440.460905349797</v>
      </c>
      <c r="C81" s="11">
        <v>7775.1358024691363</v>
      </c>
      <c r="D81" s="11">
        <v>8643.7119341563757</v>
      </c>
      <c r="E81" s="11">
        <v>24859.308641975309</v>
      </c>
    </row>
    <row r="82" spans="1:5" x14ac:dyDescent="0.25">
      <c r="A82" s="14" t="s">
        <v>42</v>
      </c>
      <c r="B82" s="11">
        <v>3449.4938271604938</v>
      </c>
      <c r="C82" s="11">
        <v>3031.691358024691</v>
      </c>
      <c r="D82" s="11">
        <v>3357.7325102880659</v>
      </c>
      <c r="E82" s="11">
        <v>9838.9176954732502</v>
      </c>
    </row>
    <row r="83" spans="1:5" x14ac:dyDescent="0.25">
      <c r="A83" s="14" t="s">
        <v>23</v>
      </c>
      <c r="B83" s="11">
        <v>12494.860082304525</v>
      </c>
      <c r="C83" s="11">
        <v>9861.300411522634</v>
      </c>
      <c r="D83" s="11">
        <v>11436.436213991772</v>
      </c>
      <c r="E83" s="11">
        <v>33792.596707818928</v>
      </c>
    </row>
    <row r="84" spans="1:5" x14ac:dyDescent="0.25">
      <c r="A84" s="14" t="s">
        <v>28</v>
      </c>
      <c r="B84" s="11">
        <v>3908.4074074074069</v>
      </c>
      <c r="C84" s="11">
        <v>3419.6666666666665</v>
      </c>
      <c r="D84" s="11">
        <v>3729.7242798353905</v>
      </c>
      <c r="E84" s="11">
        <v>11057.798353909464</v>
      </c>
    </row>
    <row r="85" spans="1:5" x14ac:dyDescent="0.25">
      <c r="A85" s="13" t="s">
        <v>366</v>
      </c>
      <c r="B85" s="11"/>
      <c r="C85" s="11"/>
      <c r="D85" s="11"/>
      <c r="E85" s="11"/>
    </row>
    <row r="86" spans="1:5" x14ac:dyDescent="0.25">
      <c r="A86" s="14" t="s">
        <v>46</v>
      </c>
      <c r="B86" s="11">
        <v>4522.079561042523</v>
      </c>
      <c r="C86" s="11">
        <v>3696.076817558298</v>
      </c>
      <c r="D86" s="11">
        <v>4478.9725651577501</v>
      </c>
      <c r="E86" s="11">
        <v>12697.128943758571</v>
      </c>
    </row>
    <row r="87" spans="1:5" x14ac:dyDescent="0.25">
      <c r="A87" s="14" t="s">
        <v>58</v>
      </c>
      <c r="B87" s="11">
        <v>5043.8353909465031</v>
      </c>
      <c r="C87" s="11">
        <v>4080.2249657064463</v>
      </c>
      <c r="D87" s="11">
        <v>4793.3443072702348</v>
      </c>
      <c r="E87" s="11">
        <v>13917.404663923186</v>
      </c>
    </row>
    <row r="88" spans="1:5" x14ac:dyDescent="0.25">
      <c r="A88" s="14" t="s">
        <v>50</v>
      </c>
      <c r="B88" s="11">
        <v>1766.6844993141287</v>
      </c>
      <c r="C88" s="11">
        <v>1458.3758573388204</v>
      </c>
      <c r="D88" s="11">
        <v>1763.4993141289435</v>
      </c>
      <c r="E88" s="11">
        <v>4988.5596707818922</v>
      </c>
    </row>
    <row r="89" spans="1:5" x14ac:dyDescent="0.25">
      <c r="A89" s="14" t="s">
        <v>37</v>
      </c>
      <c r="B89" s="11">
        <v>2291.7983539094644</v>
      </c>
      <c r="C89" s="11">
        <v>1974.4128943758571</v>
      </c>
      <c r="D89" s="11">
        <v>1955.8299039780522</v>
      </c>
      <c r="E89" s="11">
        <v>6222.041152263374</v>
      </c>
    </row>
    <row r="90" spans="1:5" x14ac:dyDescent="0.25">
      <c r="A90" s="14" t="s">
        <v>60</v>
      </c>
      <c r="B90" s="11">
        <v>975.89574759945117</v>
      </c>
      <c r="C90" s="11">
        <v>813.16872427983537</v>
      </c>
      <c r="D90" s="11">
        <v>874.38820301783278</v>
      </c>
      <c r="E90" s="11">
        <v>2663.4526748971193</v>
      </c>
    </row>
    <row r="91" spans="1:5" x14ac:dyDescent="0.25">
      <c r="A91" s="14" t="s">
        <v>35</v>
      </c>
      <c r="B91" s="11">
        <v>13878.304526748971</v>
      </c>
      <c r="C91" s="11">
        <v>12314.183813443071</v>
      </c>
      <c r="D91" s="11">
        <v>13327.463648834018</v>
      </c>
      <c r="E91" s="11">
        <v>39519.951989026056</v>
      </c>
    </row>
    <row r="92" spans="1:5" x14ac:dyDescent="0.25">
      <c r="A92" s="14" t="s">
        <v>31</v>
      </c>
      <c r="B92" s="11">
        <v>14779.257887517144</v>
      </c>
      <c r="C92" s="11">
        <v>12193.267489711934</v>
      </c>
      <c r="D92" s="11">
        <v>14077.807956104252</v>
      </c>
      <c r="E92" s="11">
        <v>41050.333333333328</v>
      </c>
    </row>
    <row r="93" spans="1:5" x14ac:dyDescent="0.25">
      <c r="A93" s="14" t="s">
        <v>54</v>
      </c>
      <c r="B93" s="11">
        <v>4770.5898491083672</v>
      </c>
      <c r="C93" s="11">
        <v>4422.2427983539092</v>
      </c>
      <c r="D93" s="11">
        <v>4773.7448559670775</v>
      </c>
      <c r="E93" s="11">
        <v>13966.577503429355</v>
      </c>
    </row>
    <row r="94" spans="1:5" x14ac:dyDescent="0.25">
      <c r="A94" s="14" t="s">
        <v>48</v>
      </c>
      <c r="B94" s="11">
        <v>4814.3909465020579</v>
      </c>
      <c r="C94" s="11">
        <v>4024.3305898491089</v>
      </c>
      <c r="D94" s="11">
        <v>4730.1646090534969</v>
      </c>
      <c r="E94" s="11">
        <v>13568.886145404664</v>
      </c>
    </row>
    <row r="95" spans="1:5" x14ac:dyDescent="0.25">
      <c r="A95" s="14" t="s">
        <v>40</v>
      </c>
      <c r="B95" s="11">
        <v>2593.3127572016465</v>
      </c>
      <c r="C95" s="11">
        <v>2428.6598079561045</v>
      </c>
      <c r="D95" s="11">
        <v>2580.2085048010977</v>
      </c>
      <c r="E95" s="11">
        <v>7602.1810699588486</v>
      </c>
    </row>
    <row r="96" spans="1:5" x14ac:dyDescent="0.25">
      <c r="A96" s="14" t="s">
        <v>13</v>
      </c>
      <c r="B96" s="11">
        <v>5110.628257887518</v>
      </c>
      <c r="C96" s="11">
        <v>4672.1028806584354</v>
      </c>
      <c r="D96" s="11">
        <v>4818.9492455418394</v>
      </c>
      <c r="E96" s="11">
        <v>14601.680384087795</v>
      </c>
    </row>
    <row r="97" spans="1:5" x14ac:dyDescent="0.25">
      <c r="A97" s="14" t="s">
        <v>21</v>
      </c>
      <c r="B97" s="11">
        <v>8441.799725651581</v>
      </c>
      <c r="C97" s="11">
        <v>7779.9588477366269</v>
      </c>
      <c r="D97" s="11">
        <v>8615.8751714677619</v>
      </c>
      <c r="E97" s="11">
        <v>24837.633744855972</v>
      </c>
    </row>
    <row r="98" spans="1:5" x14ac:dyDescent="0.25">
      <c r="A98" s="14" t="s">
        <v>42</v>
      </c>
      <c r="B98" s="11">
        <v>3431.5473251028802</v>
      </c>
      <c r="C98" s="11">
        <v>3031.0329218106995</v>
      </c>
      <c r="D98" s="11">
        <v>3351.7174211248289</v>
      </c>
      <c r="E98" s="11">
        <v>9814.297668038409</v>
      </c>
    </row>
    <row r="99" spans="1:5" x14ac:dyDescent="0.25">
      <c r="A99" s="14" t="s">
        <v>23</v>
      </c>
      <c r="B99" s="11">
        <v>12476.072702331961</v>
      </c>
      <c r="C99" s="11">
        <v>9829.3635116598089</v>
      </c>
      <c r="D99" s="11">
        <v>11376.322359396436</v>
      </c>
      <c r="E99" s="11">
        <v>33681.758573388208</v>
      </c>
    </row>
    <row r="100" spans="1:5" x14ac:dyDescent="0.25">
      <c r="A100" s="14" t="s">
        <v>28</v>
      </c>
      <c r="B100" s="11">
        <v>3895.5432098765427</v>
      </c>
      <c r="C100" s="11">
        <v>3414.8888888888887</v>
      </c>
      <c r="D100" s="11">
        <v>3728.7805212620024</v>
      </c>
      <c r="E100" s="11">
        <v>11039.212620027434</v>
      </c>
    </row>
    <row r="101" spans="1:5" x14ac:dyDescent="0.25">
      <c r="A101" s="13" t="s">
        <v>369</v>
      </c>
      <c r="B101" s="11">
        <v>87261</v>
      </c>
      <c r="C101" s="11">
        <v>74011.666666666672</v>
      </c>
      <c r="D101" s="11">
        <v>82516.666666666657</v>
      </c>
      <c r="E101" s="11">
        <v>243789.33333333337</v>
      </c>
    </row>
    <row r="102" spans="1:5" x14ac:dyDescent="0.25">
      <c r="A102" s="13" t="s">
        <v>371</v>
      </c>
      <c r="B102" s="11">
        <v>89754.999999999985</v>
      </c>
      <c r="C102" s="11">
        <v>76228.888888888876</v>
      </c>
      <c r="D102" s="11">
        <v>85805.888888888905</v>
      </c>
      <c r="E102" s="11">
        <v>251789.77777777775</v>
      </c>
    </row>
    <row r="103" spans="1:5" x14ac:dyDescent="0.25">
      <c r="A103" s="13" t="s">
        <v>375</v>
      </c>
      <c r="B103" s="11">
        <v>88753</v>
      </c>
      <c r="C103" s="11">
        <v>76620.185185185168</v>
      </c>
      <c r="D103" s="11">
        <v>85685.185185185182</v>
      </c>
      <c r="E103" s="11">
        <v>251058.37037037036</v>
      </c>
    </row>
    <row r="104" spans="1:5" x14ac:dyDescent="0.25">
      <c r="A104" s="13" t="s">
        <v>373</v>
      </c>
      <c r="B104" s="11">
        <v>88589.666666666657</v>
      </c>
      <c r="C104" s="11">
        <v>75620.246913580253</v>
      </c>
      <c r="D104" s="11">
        <v>84669.246913580253</v>
      </c>
      <c r="E104" s="11">
        <v>248879.16049382713</v>
      </c>
    </row>
    <row r="105" spans="1:5" x14ac:dyDescent="0.25">
      <c r="A105" s="13" t="s">
        <v>377</v>
      </c>
      <c r="B105" s="11">
        <v>89032.555555555547</v>
      </c>
      <c r="C105" s="11">
        <v>76156.440329218109</v>
      </c>
      <c r="D105" s="11">
        <v>85386.773662551423</v>
      </c>
      <c r="E105" s="11">
        <v>250575.76954732509</v>
      </c>
    </row>
    <row r="106" spans="1:5" x14ac:dyDescent="0.25">
      <c r="A106" s="13" t="s">
        <v>378</v>
      </c>
      <c r="B106" s="11">
        <v>88791.74074074073</v>
      </c>
      <c r="C106" s="11">
        <v>76132.290809327838</v>
      </c>
      <c r="D106" s="11">
        <v>85247.068587105634</v>
      </c>
      <c r="E106" s="11">
        <v>250171.10013717416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84"/>
  <sheetViews>
    <sheetView tabSelected="1" topLeftCell="K2" zoomScale="93" zoomScaleNormal="93" workbookViewId="0">
      <selection activeCell="AD10" sqref="AD10"/>
    </sheetView>
  </sheetViews>
  <sheetFormatPr defaultColWidth="8.7109375" defaultRowHeight="15" x14ac:dyDescent="0.25"/>
  <cols>
    <col min="1" max="1" width="10" customWidth="1"/>
    <col min="2" max="2" width="8" customWidth="1"/>
    <col min="3" max="3" width="22" customWidth="1"/>
    <col min="4" max="4" width="8" customWidth="1"/>
    <col min="5" max="5" width="7" customWidth="1"/>
    <col min="6" max="6" width="6" customWidth="1"/>
    <col min="7" max="7" width="12" style="10" customWidth="1"/>
    <col min="8" max="8" width="18" customWidth="1"/>
    <col min="9" max="9" width="15" customWidth="1"/>
    <col min="10" max="10" width="14" customWidth="1"/>
    <col min="11" max="11" width="10" customWidth="1"/>
    <col min="12" max="12" width="15" customWidth="1"/>
    <col min="16" max="16" width="8.7109375" style="6"/>
    <col min="17" max="17" width="23.7109375" style="6" customWidth="1"/>
    <col min="18" max="18" width="22" bestFit="1" customWidth="1"/>
    <col min="19" max="19" width="16.28515625" customWidth="1"/>
    <col min="20" max="20" width="24.42578125" customWidth="1"/>
    <col min="21" max="21" width="14.28515625" style="11" customWidth="1"/>
    <col min="22" max="22" width="16.42578125" style="11" customWidth="1"/>
    <col min="23" max="23" width="19.42578125" style="11" customWidth="1"/>
    <col min="24" max="24" width="15" style="11" customWidth="1"/>
    <col min="25" max="26" width="13" style="11" customWidth="1"/>
    <col min="27" max="27" width="9" customWidth="1"/>
    <col min="28" max="28" width="16.85546875" customWidth="1"/>
  </cols>
  <sheetData>
    <row r="1" spans="1:28" ht="30" customHeight="1" x14ac:dyDescent="0.25">
      <c r="A1" s="1" t="s">
        <v>64</v>
      </c>
      <c r="B1" s="1" t="s">
        <v>0</v>
      </c>
      <c r="C1" s="1" t="s">
        <v>1</v>
      </c>
      <c r="D1" s="1" t="s">
        <v>65</v>
      </c>
      <c r="E1" s="1" t="s">
        <v>66</v>
      </c>
      <c r="F1" s="1" t="s">
        <v>67</v>
      </c>
      <c r="G1" s="7" t="s">
        <v>68</v>
      </c>
      <c r="H1" s="1" t="s">
        <v>69</v>
      </c>
      <c r="I1" s="1" t="s">
        <v>70</v>
      </c>
      <c r="J1" s="1" t="s">
        <v>71</v>
      </c>
      <c r="K1" s="1" t="s">
        <v>72</v>
      </c>
      <c r="L1" s="1" t="s">
        <v>73</v>
      </c>
      <c r="M1" s="1" t="s">
        <v>348</v>
      </c>
      <c r="N1" s="1" t="s">
        <v>349</v>
      </c>
      <c r="O1" s="1" t="s">
        <v>351</v>
      </c>
      <c r="P1" s="5" t="s">
        <v>350</v>
      </c>
      <c r="Q1" s="5" t="s">
        <v>352</v>
      </c>
      <c r="R1" s="1" t="s">
        <v>353</v>
      </c>
      <c r="S1" s="1" t="s">
        <v>354</v>
      </c>
      <c r="T1" s="7" t="s">
        <v>357</v>
      </c>
      <c r="U1" s="7" t="s">
        <v>361</v>
      </c>
      <c r="V1" s="7" t="s">
        <v>362</v>
      </c>
      <c r="W1" s="10" t="s">
        <v>363</v>
      </c>
      <c r="X1" s="10" t="s">
        <v>364</v>
      </c>
      <c r="Y1" s="10" t="s">
        <v>365</v>
      </c>
      <c r="Z1" s="10" t="s">
        <v>366</v>
      </c>
      <c r="AA1" t="s">
        <v>360</v>
      </c>
      <c r="AB1" t="s">
        <v>403</v>
      </c>
    </row>
    <row r="2" spans="1:28" x14ac:dyDescent="0.25">
      <c r="A2" s="2">
        <v>1</v>
      </c>
      <c r="B2" s="2" t="s">
        <v>12</v>
      </c>
      <c r="C2" s="2" t="s">
        <v>13</v>
      </c>
      <c r="D2" s="2" t="s">
        <v>74</v>
      </c>
      <c r="E2" s="2">
        <v>1</v>
      </c>
      <c r="F2" s="2">
        <v>2023</v>
      </c>
      <c r="G2" s="8">
        <v>44927</v>
      </c>
      <c r="H2" s="2">
        <v>3689</v>
      </c>
      <c r="I2" s="2">
        <v>3338</v>
      </c>
      <c r="J2" s="2">
        <v>351</v>
      </c>
      <c r="K2" s="2">
        <v>9.5</v>
      </c>
      <c r="L2" s="2" t="s">
        <v>76</v>
      </c>
      <c r="N2" s="4">
        <v>3689</v>
      </c>
      <c r="O2">
        <f>ABS(H2-I2)</f>
        <v>351</v>
      </c>
      <c r="P2" s="6">
        <f>ABS(O2)/H2</f>
        <v>9.5147736513960426E-2</v>
      </c>
      <c r="Q2" s="6">
        <f>ABS((H2-N2))/H2</f>
        <v>0</v>
      </c>
      <c r="R2" t="s">
        <v>355</v>
      </c>
      <c r="S2" s="6">
        <f>AVERAGE(P2:P1081)</f>
        <v>5.1126694543331429E-2</v>
      </c>
      <c r="T2" s="11" t="s">
        <v>13</v>
      </c>
      <c r="U2" s="11">
        <f>AVERAGEIFS($H$2:$H$1081,$C$2:$C$1081,$T2,$D$2:$D$1081,$AA2,$F$2:$F$1081,2024,$E$2:$E$1081,"&gt;=10")</f>
        <v>4946.666666666667</v>
      </c>
      <c r="V2" s="11">
        <f>AVERAGE(AVERAGEIFS($H$2:$H$1081,$C$2:$C$1081,T2,$D$2:$D$1081,AA2,$F$2:$F$1081,2024,$E$2:$E$1081,"=11"),AVERAGEIFS($H$2:$H$1081,$C$2:$C$1081,T2,$D$2:$D$1081,AA2,$F$2:$F$1081,2024,$E$2:$E$1081,"=12"),U2)</f>
        <v>5214.2222222222226</v>
      </c>
      <c r="W2" s="11">
        <f>AVERAGE(AVERAGEIFS($H$2:$H$1081,$C$2:$C$1081,T2,$D$2:$D$1081,AA2,$F$2:$F$1081,2024,$E$2:$E$1081,"=12"),U2,V2)</f>
        <v>5106.2962962962965</v>
      </c>
      <c r="X2" s="11">
        <f>AVERAGE(U2,V2,W2)</f>
        <v>5089.0617283950623</v>
      </c>
      <c r="Y2" s="11">
        <f>AVERAGE(V2,W2,X2)</f>
        <v>5136.5267489711941</v>
      </c>
      <c r="Z2" s="11">
        <f>AVERAGE(W2,X2,Y2)</f>
        <v>5110.628257887518</v>
      </c>
      <c r="AA2" t="s">
        <v>74</v>
      </c>
      <c r="AB2" s="11">
        <f>Table1[[#This Row],[01-01-2025]]+Table1[[#This Row],[01-02-2025]]+Table1[[#This Row],[01-03-2025]]+Table1[[#This Row],[01-04-2025]]+Table1[[#This Row],[01-05-2025]]+Table1[[#This Row],[01-06-2025]]</f>
        <v>30603.401920438962</v>
      </c>
    </row>
    <row r="3" spans="1:28" x14ac:dyDescent="0.25">
      <c r="A3" s="3">
        <v>2</v>
      </c>
      <c r="B3" s="3" t="s">
        <v>12</v>
      </c>
      <c r="C3" s="3" t="s">
        <v>13</v>
      </c>
      <c r="D3" s="3" t="s">
        <v>74</v>
      </c>
      <c r="E3" s="3">
        <v>2</v>
      </c>
      <c r="F3" s="3">
        <v>2023</v>
      </c>
      <c r="G3" s="9" t="s">
        <v>77</v>
      </c>
      <c r="H3" s="3">
        <v>3233</v>
      </c>
      <c r="I3" s="3">
        <v>2999</v>
      </c>
      <c r="J3" s="3">
        <v>234</v>
      </c>
      <c r="K3" s="3">
        <v>7.2</v>
      </c>
      <c r="L3" s="3" t="s">
        <v>78</v>
      </c>
      <c r="N3">
        <f>0.3*H2+(0.7*N2)</f>
        <v>3689</v>
      </c>
      <c r="O3">
        <f t="shared" ref="O3:O66" si="0">ABS(H3-I3)</f>
        <v>234</v>
      </c>
      <c r="P3" s="6">
        <f t="shared" ref="P3:P66" si="1">ABS(O3)/H3</f>
        <v>7.2378595731518711E-2</v>
      </c>
      <c r="Q3" s="6">
        <f t="shared" ref="Q3:Q66" si="2">ABS((H3-N3))/H3</f>
        <v>0.14104546860501083</v>
      </c>
      <c r="R3" t="s">
        <v>356</v>
      </c>
      <c r="S3" s="6">
        <f>AVERAGE(Q3:Q1081)</f>
        <v>0.18296433598037223</v>
      </c>
      <c r="T3" s="11" t="s">
        <v>13</v>
      </c>
      <c r="U3" s="11">
        <f t="shared" ref="U3:U46" si="3">AVERAGEIFS($H$2:$H$1081,$C$2:$C$1081,$T3,$D$2:$D$1081,$AA3,$F$2:$F$1081,2024,$E$2:$E$1081,"&gt;=10")</f>
        <v>4418</v>
      </c>
      <c r="V3" s="11">
        <f t="shared" ref="V3:V46" si="4">AVERAGE(AVERAGEIFS($H$2:$H$1081,$C$2:$C$1081,T3,$D$2:$D$1081,AA3,$F$2:$F$1081,2024,$E$2:$E$1081,"=11"),AVERAGEIFS($H$2:$H$1081,$C$2:$C$1081,T3,$D$2:$D$1081,AA3,$F$2:$F$1081,2024,$E$2:$E$1081,"=12"),U3)</f>
        <v>4676.333333333333</v>
      </c>
      <c r="W3" s="11">
        <f t="shared" ref="W3:W46" si="5">AVERAGE(AVERAGEIFS($H$2:$H$1081,$C$2:$C$1081,T3,$D$2:$D$1081,AA3,$F$2:$F$1081,2024,$E$2:$E$1081,"=12"),U3,V3)</f>
        <v>4733.7777777777774</v>
      </c>
      <c r="X3" s="11">
        <f t="shared" ref="X3:X46" si="6">AVERAGE(U3,V3,W3)</f>
        <v>4609.3703703703695</v>
      </c>
      <c r="Y3" s="11">
        <f t="shared" ref="Y3:Y46" si="7">AVERAGE(V3,W3,X3)</f>
        <v>4673.1604938271594</v>
      </c>
      <c r="Z3" s="11">
        <f t="shared" ref="Z3:Z46" si="8">AVERAGE(W3,X3,Y3)</f>
        <v>4672.1028806584354</v>
      </c>
      <c r="AA3" t="s">
        <v>102</v>
      </c>
      <c r="AB3" s="11">
        <f>Table1[[#This Row],[01-01-2025]]+Table1[[#This Row],[01-02-2025]]+Table1[[#This Row],[01-03-2025]]+Table1[[#This Row],[01-04-2025]]+Table1[[#This Row],[01-05-2025]]+Table1[[#This Row],[01-06-2025]]</f>
        <v>27782.744855967074</v>
      </c>
    </row>
    <row r="4" spans="1:28" x14ac:dyDescent="0.25">
      <c r="A4" s="2">
        <v>3</v>
      </c>
      <c r="B4" s="2" t="s">
        <v>12</v>
      </c>
      <c r="C4" s="2" t="s">
        <v>13</v>
      </c>
      <c r="D4" s="2" t="s">
        <v>74</v>
      </c>
      <c r="E4" s="2">
        <v>3</v>
      </c>
      <c r="F4" s="2">
        <v>2023</v>
      </c>
      <c r="G4" s="8" t="s">
        <v>79</v>
      </c>
      <c r="H4" s="2">
        <v>4159</v>
      </c>
      <c r="I4" s="2">
        <v>4485</v>
      </c>
      <c r="J4" s="2">
        <v>-326</v>
      </c>
      <c r="K4" s="2">
        <v>7.8</v>
      </c>
      <c r="L4" s="2" t="s">
        <v>78</v>
      </c>
      <c r="N4">
        <f t="shared" ref="N4:N67" si="9">0.3*H3+(0.7*N3)</f>
        <v>3552.2</v>
      </c>
      <c r="O4">
        <f t="shared" si="0"/>
        <v>326</v>
      </c>
      <c r="P4" s="6">
        <f t="shared" si="1"/>
        <v>7.838422697763886E-2</v>
      </c>
      <c r="Q4" s="6">
        <f t="shared" si="2"/>
        <v>0.14590045684058672</v>
      </c>
      <c r="T4" s="11" t="s">
        <v>13</v>
      </c>
      <c r="U4" s="11">
        <f t="shared" si="3"/>
        <v>4764.666666666667</v>
      </c>
      <c r="V4" s="11">
        <f t="shared" si="4"/>
        <v>4836.2222222222226</v>
      </c>
      <c r="W4" s="11">
        <f t="shared" si="5"/>
        <v>4824.9629629629635</v>
      </c>
      <c r="X4" s="11">
        <f t="shared" si="6"/>
        <v>4808.617283950618</v>
      </c>
      <c r="Y4" s="11">
        <f t="shared" si="7"/>
        <v>4823.267489711935</v>
      </c>
      <c r="Z4" s="11">
        <f t="shared" si="8"/>
        <v>4818.9492455418394</v>
      </c>
      <c r="AA4" t="s">
        <v>103</v>
      </c>
      <c r="AB4" s="11">
        <f>Table1[[#This Row],[01-01-2025]]+Table1[[#This Row],[01-02-2025]]+Table1[[#This Row],[01-03-2025]]+Table1[[#This Row],[01-04-2025]]+Table1[[#This Row],[01-05-2025]]+Table1[[#This Row],[01-06-2025]]</f>
        <v>28876.685871056248</v>
      </c>
    </row>
    <row r="5" spans="1:28" x14ac:dyDescent="0.25">
      <c r="A5" s="3">
        <v>4</v>
      </c>
      <c r="B5" s="3" t="s">
        <v>12</v>
      </c>
      <c r="C5" s="3" t="s">
        <v>13</v>
      </c>
      <c r="D5" s="3" t="s">
        <v>74</v>
      </c>
      <c r="E5" s="3">
        <v>4</v>
      </c>
      <c r="F5" s="3">
        <v>2023</v>
      </c>
      <c r="G5" s="9" t="s">
        <v>80</v>
      </c>
      <c r="H5" s="3">
        <v>4291</v>
      </c>
      <c r="I5" s="3">
        <v>3889</v>
      </c>
      <c r="J5" s="3">
        <v>402</v>
      </c>
      <c r="K5" s="3">
        <v>9.4</v>
      </c>
      <c r="L5" s="3" t="s">
        <v>78</v>
      </c>
      <c r="M5">
        <f>AVERAGE(H2:H4)</f>
        <v>3693.6666666666665</v>
      </c>
      <c r="N5">
        <f>0.3*H4+(0.7*N4)</f>
        <v>3734.24</v>
      </c>
      <c r="O5">
        <f t="shared" si="0"/>
        <v>402</v>
      </c>
      <c r="P5" s="6">
        <f t="shared" si="1"/>
        <v>9.3684455837800051E-2</v>
      </c>
      <c r="Q5" s="6">
        <f t="shared" si="2"/>
        <v>0.12975064087625268</v>
      </c>
      <c r="T5" s="11" t="str">
        <f>C75</f>
        <v>Surf Excel 500g</v>
      </c>
      <c r="U5" s="11">
        <f t="shared" si="3"/>
        <v>8273.3333333333339</v>
      </c>
      <c r="V5" s="11">
        <f t="shared" si="4"/>
        <v>8436.4444444444453</v>
      </c>
      <c r="W5" s="11">
        <f t="shared" si="5"/>
        <v>8486.2592592592609</v>
      </c>
      <c r="X5" s="11">
        <f t="shared" si="6"/>
        <v>8398.6790123456813</v>
      </c>
      <c r="Y5" s="11">
        <f t="shared" si="7"/>
        <v>8440.460905349797</v>
      </c>
      <c r="Z5" s="11">
        <f t="shared" si="8"/>
        <v>8441.799725651581</v>
      </c>
      <c r="AA5" t="s">
        <v>74</v>
      </c>
      <c r="AB5" s="11">
        <f>Table1[[#This Row],[01-01-2025]]+Table1[[#This Row],[01-02-2025]]+Table1[[#This Row],[01-03-2025]]+Table1[[#This Row],[01-04-2025]]+Table1[[#This Row],[01-05-2025]]+Table1[[#This Row],[01-06-2025]]</f>
        <v>50476.976680384105</v>
      </c>
    </row>
    <row r="6" spans="1:28" x14ac:dyDescent="0.25">
      <c r="A6" s="2">
        <v>5</v>
      </c>
      <c r="B6" s="2" t="s">
        <v>12</v>
      </c>
      <c r="C6" s="2" t="s">
        <v>13</v>
      </c>
      <c r="D6" s="2" t="s">
        <v>74</v>
      </c>
      <c r="E6" s="2">
        <v>5</v>
      </c>
      <c r="F6" s="2">
        <v>2023</v>
      </c>
      <c r="G6" s="8" t="s">
        <v>81</v>
      </c>
      <c r="H6" s="2">
        <v>4112</v>
      </c>
      <c r="I6" s="2">
        <v>4116</v>
      </c>
      <c r="J6" s="2">
        <v>-4</v>
      </c>
      <c r="K6" s="2">
        <v>0.1</v>
      </c>
      <c r="L6" s="2" t="s">
        <v>78</v>
      </c>
      <c r="M6">
        <f>AVERAGE(H3:H5)</f>
        <v>3894.3333333333335</v>
      </c>
      <c r="N6">
        <f t="shared" si="9"/>
        <v>3901.268</v>
      </c>
      <c r="O6">
        <f t="shared" si="0"/>
        <v>4</v>
      </c>
      <c r="P6" s="6">
        <f t="shared" si="1"/>
        <v>9.727626459143969E-4</v>
      </c>
      <c r="Q6" s="6">
        <f t="shared" si="2"/>
        <v>5.1248054474708163E-2</v>
      </c>
      <c r="T6" s="11" t="str">
        <f>C75</f>
        <v>Surf Excel 500g</v>
      </c>
      <c r="U6" s="11">
        <f t="shared" si="3"/>
        <v>7562</v>
      </c>
      <c r="V6" s="11">
        <f t="shared" si="4"/>
        <v>7760.666666666667</v>
      </c>
      <c r="W6" s="11">
        <f t="shared" si="5"/>
        <v>7842.8888888888896</v>
      </c>
      <c r="X6" s="11">
        <f t="shared" si="6"/>
        <v>7721.8518518518531</v>
      </c>
      <c r="Y6" s="11">
        <f t="shared" si="7"/>
        <v>7775.1358024691363</v>
      </c>
      <c r="Z6" s="11">
        <f t="shared" si="8"/>
        <v>7779.9588477366269</v>
      </c>
      <c r="AA6" t="s">
        <v>102</v>
      </c>
      <c r="AB6" s="11">
        <f>Table1[[#This Row],[01-01-2025]]+Table1[[#This Row],[01-02-2025]]+Table1[[#This Row],[01-03-2025]]+Table1[[#This Row],[01-04-2025]]+Table1[[#This Row],[01-05-2025]]+Table1[[#This Row],[01-06-2025]]</f>
        <v>46442.502057613172</v>
      </c>
    </row>
    <row r="7" spans="1:28" x14ac:dyDescent="0.25">
      <c r="A7" s="3">
        <v>6</v>
      </c>
      <c r="B7" s="3" t="s">
        <v>12</v>
      </c>
      <c r="C7" s="3" t="s">
        <v>13</v>
      </c>
      <c r="D7" s="3" t="s">
        <v>74</v>
      </c>
      <c r="E7" s="3">
        <v>6</v>
      </c>
      <c r="F7" s="3">
        <v>2023</v>
      </c>
      <c r="G7" s="9" t="s">
        <v>82</v>
      </c>
      <c r="H7" s="3">
        <v>4687</v>
      </c>
      <c r="I7" s="3">
        <v>4889</v>
      </c>
      <c r="J7" s="3">
        <v>-202</v>
      </c>
      <c r="K7" s="3">
        <v>4.3</v>
      </c>
      <c r="L7" s="3" t="s">
        <v>83</v>
      </c>
      <c r="M7">
        <f t="shared" ref="M7:M69" si="10">AVERAGE(H4:H6)</f>
        <v>4187.333333333333</v>
      </c>
      <c r="N7">
        <f t="shared" si="9"/>
        <v>3964.4875999999999</v>
      </c>
      <c r="O7">
        <f t="shared" si="0"/>
        <v>202</v>
      </c>
      <c r="P7" s="6">
        <f t="shared" si="1"/>
        <v>4.3097930445914229E-2</v>
      </c>
      <c r="Q7" s="6">
        <f t="shared" si="2"/>
        <v>0.15415242159163645</v>
      </c>
      <c r="T7" s="11" t="str">
        <f>C75</f>
        <v>Surf Excel 500g</v>
      </c>
      <c r="U7" s="11">
        <f t="shared" si="3"/>
        <v>8192.6666666666661</v>
      </c>
      <c r="V7" s="11">
        <f t="shared" si="4"/>
        <v>8727.2222222222208</v>
      </c>
      <c r="W7" s="11">
        <f t="shared" si="5"/>
        <v>8672.9629629629617</v>
      </c>
      <c r="X7" s="11">
        <f t="shared" si="6"/>
        <v>8530.9506172839483</v>
      </c>
      <c r="Y7" s="11">
        <f t="shared" si="7"/>
        <v>8643.7119341563757</v>
      </c>
      <c r="Z7" s="11">
        <f t="shared" si="8"/>
        <v>8615.8751714677619</v>
      </c>
      <c r="AA7" t="s">
        <v>103</v>
      </c>
      <c r="AB7" s="11">
        <f>Table1[[#This Row],[01-01-2025]]+Table1[[#This Row],[01-02-2025]]+Table1[[#This Row],[01-03-2025]]+Table1[[#This Row],[01-04-2025]]+Table1[[#This Row],[01-05-2025]]+Table1[[#This Row],[01-06-2025]]</f>
        <v>51383.389574759931</v>
      </c>
    </row>
    <row r="8" spans="1:28" x14ac:dyDescent="0.25">
      <c r="A8" s="2">
        <v>7</v>
      </c>
      <c r="B8" s="2" t="s">
        <v>12</v>
      </c>
      <c r="C8" s="2" t="s">
        <v>13</v>
      </c>
      <c r="D8" s="2" t="s">
        <v>74</v>
      </c>
      <c r="E8" s="2">
        <v>7</v>
      </c>
      <c r="F8" s="2">
        <v>2023</v>
      </c>
      <c r="G8" s="8" t="s">
        <v>84</v>
      </c>
      <c r="H8" s="2">
        <v>4584</v>
      </c>
      <c r="I8" s="2">
        <v>4327</v>
      </c>
      <c r="J8" s="2">
        <v>257</v>
      </c>
      <c r="K8" s="2">
        <v>5.6</v>
      </c>
      <c r="L8" s="2" t="s">
        <v>83</v>
      </c>
      <c r="M8">
        <f t="shared" si="10"/>
        <v>4363.333333333333</v>
      </c>
      <c r="N8">
        <f t="shared" si="9"/>
        <v>4181.2413199999992</v>
      </c>
      <c r="O8">
        <f t="shared" si="0"/>
        <v>257</v>
      </c>
      <c r="P8" s="6">
        <f t="shared" si="1"/>
        <v>5.6064572425828969E-2</v>
      </c>
      <c r="Q8" s="6">
        <f t="shared" si="2"/>
        <v>8.786184118673665E-2</v>
      </c>
      <c r="T8" s="11" t="str">
        <f>C146</f>
        <v>Vim Bar 200g</v>
      </c>
      <c r="U8" s="11">
        <f t="shared" si="3"/>
        <v>12287.666666666666</v>
      </c>
      <c r="V8" s="11">
        <f t="shared" si="4"/>
        <v>12551.222222222221</v>
      </c>
      <c r="W8" s="11">
        <f t="shared" si="5"/>
        <v>12490.296296296294</v>
      </c>
      <c r="X8" s="11">
        <f t="shared" si="6"/>
        <v>12443.061728395061</v>
      </c>
      <c r="Y8" s="11">
        <f t="shared" si="7"/>
        <v>12494.860082304525</v>
      </c>
      <c r="Z8" s="11">
        <f t="shared" si="8"/>
        <v>12476.072702331961</v>
      </c>
      <c r="AA8" t="s">
        <v>74</v>
      </c>
      <c r="AB8" s="11">
        <f>Table1[[#This Row],[01-01-2025]]+Table1[[#This Row],[01-02-2025]]+Table1[[#This Row],[01-03-2025]]+Table1[[#This Row],[01-04-2025]]+Table1[[#This Row],[01-05-2025]]+Table1[[#This Row],[01-06-2025]]</f>
        <v>74743.179698216729</v>
      </c>
    </row>
    <row r="9" spans="1:28" x14ac:dyDescent="0.25">
      <c r="A9" s="3">
        <v>8</v>
      </c>
      <c r="B9" s="3" t="s">
        <v>12</v>
      </c>
      <c r="C9" s="3" t="s">
        <v>13</v>
      </c>
      <c r="D9" s="3" t="s">
        <v>74</v>
      </c>
      <c r="E9" s="3">
        <v>8</v>
      </c>
      <c r="F9" s="3">
        <v>2023</v>
      </c>
      <c r="G9" s="9" t="s">
        <v>85</v>
      </c>
      <c r="H9" s="3">
        <v>4175</v>
      </c>
      <c r="I9" s="3">
        <v>4483</v>
      </c>
      <c r="J9" s="3">
        <v>-308</v>
      </c>
      <c r="K9" s="3">
        <v>7.4</v>
      </c>
      <c r="L9" s="3" t="s">
        <v>78</v>
      </c>
      <c r="M9">
        <f t="shared" si="10"/>
        <v>4461</v>
      </c>
      <c r="N9">
        <f t="shared" si="9"/>
        <v>4302.0689239999992</v>
      </c>
      <c r="O9">
        <f t="shared" si="0"/>
        <v>308</v>
      </c>
      <c r="P9" s="6">
        <f t="shared" si="1"/>
        <v>7.377245508982036E-2</v>
      </c>
      <c r="Q9" s="6">
        <f t="shared" si="2"/>
        <v>3.0435670419161495E-2</v>
      </c>
      <c r="T9" s="11" t="str">
        <f>C146</f>
        <v>Vim Bar 200g</v>
      </c>
      <c r="U9" s="11">
        <f t="shared" si="3"/>
        <v>9737.3333333333339</v>
      </c>
      <c r="V9" s="11">
        <f t="shared" si="4"/>
        <v>9957.1111111111113</v>
      </c>
      <c r="W9" s="11">
        <f t="shared" si="5"/>
        <v>9796.4814814814818</v>
      </c>
      <c r="X9" s="11">
        <f t="shared" si="6"/>
        <v>9830.308641975309</v>
      </c>
      <c r="Y9" s="11">
        <f t="shared" si="7"/>
        <v>9861.300411522634</v>
      </c>
      <c r="Z9" s="11">
        <f t="shared" si="8"/>
        <v>9829.3635116598089</v>
      </c>
      <c r="AA9" t="s">
        <v>102</v>
      </c>
      <c r="AB9" s="11">
        <f>Table1[[#This Row],[01-01-2025]]+Table1[[#This Row],[01-02-2025]]+Table1[[#This Row],[01-03-2025]]+Table1[[#This Row],[01-04-2025]]+Table1[[#This Row],[01-05-2025]]+Table1[[#This Row],[01-06-2025]]</f>
        <v>59011.898491083681</v>
      </c>
    </row>
    <row r="10" spans="1:28" x14ac:dyDescent="0.25">
      <c r="A10" s="2">
        <v>9</v>
      </c>
      <c r="B10" s="2" t="s">
        <v>12</v>
      </c>
      <c r="C10" s="2" t="s">
        <v>13</v>
      </c>
      <c r="D10" s="2" t="s">
        <v>74</v>
      </c>
      <c r="E10" s="2">
        <v>9</v>
      </c>
      <c r="F10" s="2">
        <v>2023</v>
      </c>
      <c r="G10" s="8" t="s">
        <v>86</v>
      </c>
      <c r="H10" s="2">
        <v>4399</v>
      </c>
      <c r="I10" s="2">
        <v>4258</v>
      </c>
      <c r="J10" s="2">
        <v>141</v>
      </c>
      <c r="K10" s="2">
        <v>3.2</v>
      </c>
      <c r="L10" s="2" t="s">
        <v>78</v>
      </c>
      <c r="M10">
        <f t="shared" si="10"/>
        <v>4482</v>
      </c>
      <c r="N10">
        <f t="shared" si="9"/>
        <v>4263.9482467999987</v>
      </c>
      <c r="O10">
        <f t="shared" si="0"/>
        <v>141</v>
      </c>
      <c r="P10" s="6">
        <f t="shared" si="1"/>
        <v>3.2052739258922484E-2</v>
      </c>
      <c r="Q10" s="6">
        <f t="shared" si="2"/>
        <v>3.0700557672198512E-2</v>
      </c>
      <c r="T10" s="11" t="str">
        <f>C146</f>
        <v>Vim Bar 200g</v>
      </c>
      <c r="U10" s="11">
        <f t="shared" si="3"/>
        <v>10959.333333333334</v>
      </c>
      <c r="V10" s="11">
        <f t="shared" si="4"/>
        <v>11616.777777777779</v>
      </c>
      <c r="W10" s="11">
        <f t="shared" si="5"/>
        <v>11375.370370370372</v>
      </c>
      <c r="X10" s="11">
        <f t="shared" si="6"/>
        <v>11317.160493827163</v>
      </c>
      <c r="Y10" s="11">
        <f t="shared" si="7"/>
        <v>11436.436213991772</v>
      </c>
      <c r="Z10" s="11">
        <f t="shared" si="8"/>
        <v>11376.322359396436</v>
      </c>
      <c r="AA10" t="s">
        <v>103</v>
      </c>
      <c r="AB10" s="11">
        <f>Table1[[#This Row],[01-01-2025]]+Table1[[#This Row],[01-02-2025]]+Table1[[#This Row],[01-03-2025]]+Table1[[#This Row],[01-04-2025]]+Table1[[#This Row],[01-05-2025]]+Table1[[#This Row],[01-06-2025]]</f>
        <v>68081.400548696867</v>
      </c>
    </row>
    <row r="11" spans="1:28" x14ac:dyDescent="0.25">
      <c r="A11" s="3">
        <v>10</v>
      </c>
      <c r="B11" s="3" t="s">
        <v>12</v>
      </c>
      <c r="C11" s="3" t="s">
        <v>13</v>
      </c>
      <c r="D11" s="3" t="s">
        <v>74</v>
      </c>
      <c r="E11" s="3">
        <v>10</v>
      </c>
      <c r="F11" s="3">
        <v>2023</v>
      </c>
      <c r="G11" s="9" t="s">
        <v>87</v>
      </c>
      <c r="H11" s="3">
        <v>4304</v>
      </c>
      <c r="I11" s="3">
        <v>4530</v>
      </c>
      <c r="J11" s="3">
        <v>-226</v>
      </c>
      <c r="K11" s="3">
        <v>5.3</v>
      </c>
      <c r="L11" s="3" t="s">
        <v>78</v>
      </c>
      <c r="M11">
        <f t="shared" si="10"/>
        <v>4386</v>
      </c>
      <c r="N11">
        <f t="shared" si="9"/>
        <v>4304.4637727599993</v>
      </c>
      <c r="O11">
        <f t="shared" si="0"/>
        <v>226</v>
      </c>
      <c r="P11" s="6">
        <f t="shared" si="1"/>
        <v>5.25092936802974E-2</v>
      </c>
      <c r="Q11" s="6">
        <f t="shared" si="2"/>
        <v>1.0775389405188229E-4</v>
      </c>
      <c r="T11" s="11" t="str">
        <f>C218</f>
        <v>Vim Liquid 500ml</v>
      </c>
      <c r="U11" s="11">
        <f t="shared" si="3"/>
        <v>3793</v>
      </c>
      <c r="V11" s="11">
        <f t="shared" si="4"/>
        <v>3947</v>
      </c>
      <c r="W11" s="11">
        <f t="shared" si="5"/>
        <v>3898.6666666666665</v>
      </c>
      <c r="X11" s="11">
        <f t="shared" si="6"/>
        <v>3879.5555555555552</v>
      </c>
      <c r="Y11" s="11">
        <f t="shared" si="7"/>
        <v>3908.4074074074069</v>
      </c>
      <c r="Z11" s="11">
        <f t="shared" si="8"/>
        <v>3895.5432098765427</v>
      </c>
      <c r="AA11" t="s">
        <v>74</v>
      </c>
      <c r="AB11" s="11">
        <f>Table1[[#This Row],[01-01-2025]]+Table1[[#This Row],[01-02-2025]]+Table1[[#This Row],[01-03-2025]]+Table1[[#This Row],[01-04-2025]]+Table1[[#This Row],[01-05-2025]]+Table1[[#This Row],[01-06-2025]]</f>
        <v>23322.172839506169</v>
      </c>
    </row>
    <row r="12" spans="1:28" x14ac:dyDescent="0.25">
      <c r="A12" s="2">
        <v>11</v>
      </c>
      <c r="B12" s="2" t="s">
        <v>12</v>
      </c>
      <c r="C12" s="2" t="s">
        <v>13</v>
      </c>
      <c r="D12" s="2" t="s">
        <v>74</v>
      </c>
      <c r="E12" s="2">
        <v>11</v>
      </c>
      <c r="F12" s="2">
        <v>2023</v>
      </c>
      <c r="G12" s="8" t="s">
        <v>88</v>
      </c>
      <c r="H12" s="2">
        <v>4736</v>
      </c>
      <c r="I12" s="2">
        <v>4354</v>
      </c>
      <c r="J12" s="2">
        <v>382</v>
      </c>
      <c r="K12" s="2">
        <v>8.1</v>
      </c>
      <c r="L12" s="2" t="s">
        <v>76</v>
      </c>
      <c r="M12">
        <f t="shared" si="10"/>
        <v>4292.666666666667</v>
      </c>
      <c r="N12">
        <f t="shared" si="9"/>
        <v>4304.3246409319991</v>
      </c>
      <c r="O12">
        <f t="shared" si="0"/>
        <v>382</v>
      </c>
      <c r="P12" s="6">
        <f t="shared" si="1"/>
        <v>8.0658783783783786E-2</v>
      </c>
      <c r="Q12" s="6">
        <f t="shared" si="2"/>
        <v>9.114766872212858E-2</v>
      </c>
      <c r="T12" s="11" t="str">
        <f>C218</f>
        <v>Vim Liquid 500ml</v>
      </c>
      <c r="U12" s="11">
        <f t="shared" si="3"/>
        <v>3357</v>
      </c>
      <c r="V12" s="11">
        <f t="shared" si="4"/>
        <v>3434</v>
      </c>
      <c r="W12" s="11">
        <f t="shared" si="5"/>
        <v>3421</v>
      </c>
      <c r="X12" s="11">
        <f t="shared" si="6"/>
        <v>3404</v>
      </c>
      <c r="Y12" s="11">
        <f t="shared" si="7"/>
        <v>3419.6666666666665</v>
      </c>
      <c r="Z12" s="11">
        <f t="shared" si="8"/>
        <v>3414.8888888888887</v>
      </c>
      <c r="AA12" t="s">
        <v>102</v>
      </c>
      <c r="AB12" s="11">
        <f>Table1[[#This Row],[01-01-2025]]+Table1[[#This Row],[01-02-2025]]+Table1[[#This Row],[01-03-2025]]+Table1[[#This Row],[01-04-2025]]+Table1[[#This Row],[01-05-2025]]+Table1[[#This Row],[01-06-2025]]</f>
        <v>20450.555555555555</v>
      </c>
    </row>
    <row r="13" spans="1:28" x14ac:dyDescent="0.25">
      <c r="A13" s="3">
        <v>12</v>
      </c>
      <c r="B13" s="3" t="s">
        <v>12</v>
      </c>
      <c r="C13" s="3" t="s">
        <v>13</v>
      </c>
      <c r="D13" s="3" t="s">
        <v>74</v>
      </c>
      <c r="E13" s="3">
        <v>12</v>
      </c>
      <c r="F13" s="3">
        <v>2023</v>
      </c>
      <c r="G13" s="9" t="s">
        <v>89</v>
      </c>
      <c r="H13" s="3">
        <v>5595</v>
      </c>
      <c r="I13" s="3">
        <v>5938</v>
      </c>
      <c r="J13" s="3">
        <v>-343</v>
      </c>
      <c r="K13" s="3">
        <v>6.1</v>
      </c>
      <c r="L13" s="3" t="s">
        <v>83</v>
      </c>
      <c r="M13">
        <f t="shared" si="10"/>
        <v>4479.666666666667</v>
      </c>
      <c r="N13">
        <f t="shared" si="9"/>
        <v>4433.8272486523992</v>
      </c>
      <c r="O13">
        <f t="shared" si="0"/>
        <v>343</v>
      </c>
      <c r="P13" s="6">
        <f t="shared" si="1"/>
        <v>6.1304736371760503E-2</v>
      </c>
      <c r="Q13" s="6">
        <f t="shared" si="2"/>
        <v>0.20753757843567486</v>
      </c>
      <c r="T13" s="11" t="str">
        <f>C218</f>
        <v>Vim Liquid 500ml</v>
      </c>
      <c r="U13" s="11">
        <f t="shared" si="3"/>
        <v>3627.6666666666665</v>
      </c>
      <c r="V13" s="11">
        <f t="shared" si="4"/>
        <v>3732.5555555555552</v>
      </c>
      <c r="W13" s="11">
        <f t="shared" si="5"/>
        <v>3752.4074074074069</v>
      </c>
      <c r="X13" s="11">
        <f t="shared" si="6"/>
        <v>3704.2098765432092</v>
      </c>
      <c r="Y13" s="11">
        <f t="shared" si="7"/>
        <v>3729.7242798353905</v>
      </c>
      <c r="Z13" s="11">
        <f t="shared" si="8"/>
        <v>3728.7805212620024</v>
      </c>
      <c r="AA13" t="s">
        <v>103</v>
      </c>
      <c r="AB13" s="11">
        <f>Table1[[#This Row],[01-01-2025]]+Table1[[#This Row],[01-02-2025]]+Table1[[#This Row],[01-03-2025]]+Table1[[#This Row],[01-04-2025]]+Table1[[#This Row],[01-05-2025]]+Table1[[#This Row],[01-06-2025]]</f>
        <v>22275.344307270228</v>
      </c>
    </row>
    <row r="14" spans="1:28" x14ac:dyDescent="0.25">
      <c r="A14" s="2">
        <v>13</v>
      </c>
      <c r="B14" s="2" t="s">
        <v>12</v>
      </c>
      <c r="C14" s="2" t="s">
        <v>13</v>
      </c>
      <c r="D14" s="2" t="s">
        <v>74</v>
      </c>
      <c r="E14" s="2">
        <v>1</v>
      </c>
      <c r="F14" s="2">
        <v>2024</v>
      </c>
      <c r="G14" s="8" t="s">
        <v>90</v>
      </c>
      <c r="H14" s="2">
        <v>3535</v>
      </c>
      <c r="I14" s="2">
        <v>3269</v>
      </c>
      <c r="J14" s="2">
        <v>266</v>
      </c>
      <c r="K14" s="2">
        <v>7.5</v>
      </c>
      <c r="L14" s="2" t="s">
        <v>76</v>
      </c>
      <c r="M14">
        <f t="shared" si="10"/>
        <v>4878.333333333333</v>
      </c>
      <c r="N14">
        <f t="shared" si="9"/>
        <v>4782.1790740566794</v>
      </c>
      <c r="O14">
        <f t="shared" si="0"/>
        <v>266</v>
      </c>
      <c r="P14" s="6">
        <f t="shared" si="1"/>
        <v>7.5247524752475245E-2</v>
      </c>
      <c r="Q14" s="6">
        <f t="shared" si="2"/>
        <v>0.35280879039792912</v>
      </c>
      <c r="T14" s="11" t="str">
        <f>C290</f>
        <v>Lux Soap 100g</v>
      </c>
      <c r="U14" s="11">
        <f t="shared" si="3"/>
        <v>14589.666666666666</v>
      </c>
      <c r="V14" s="11">
        <f t="shared" si="4"/>
        <v>15173.222222222221</v>
      </c>
      <c r="W14" s="11">
        <f t="shared" si="5"/>
        <v>14654.296296296294</v>
      </c>
      <c r="X14" s="11">
        <f t="shared" si="6"/>
        <v>14805.728395061727</v>
      </c>
      <c r="Y14" s="11">
        <f t="shared" si="7"/>
        <v>14877.748971193412</v>
      </c>
      <c r="Z14" s="11">
        <f t="shared" si="8"/>
        <v>14779.257887517144</v>
      </c>
      <c r="AA14" t="s">
        <v>74</v>
      </c>
      <c r="AB14" s="11">
        <f>Table1[[#This Row],[01-01-2025]]+Table1[[#This Row],[01-02-2025]]+Table1[[#This Row],[01-03-2025]]+Table1[[#This Row],[01-04-2025]]+Table1[[#This Row],[01-05-2025]]+Table1[[#This Row],[01-06-2025]]</f>
        <v>88879.920438957473</v>
      </c>
    </row>
    <row r="15" spans="1:28" x14ac:dyDescent="0.25">
      <c r="A15" s="3">
        <v>14</v>
      </c>
      <c r="B15" s="3" t="s">
        <v>12</v>
      </c>
      <c r="C15" s="3" t="s">
        <v>13</v>
      </c>
      <c r="D15" s="3" t="s">
        <v>74</v>
      </c>
      <c r="E15" s="3">
        <v>2</v>
      </c>
      <c r="F15" s="3">
        <v>2024</v>
      </c>
      <c r="G15" s="9" t="s">
        <v>91</v>
      </c>
      <c r="H15" s="3">
        <v>3095</v>
      </c>
      <c r="I15" s="3">
        <v>2966</v>
      </c>
      <c r="J15" s="3">
        <v>129</v>
      </c>
      <c r="K15" s="3">
        <v>4.2</v>
      </c>
      <c r="L15" s="3" t="s">
        <v>83</v>
      </c>
      <c r="M15">
        <f t="shared" si="10"/>
        <v>4622</v>
      </c>
      <c r="N15">
        <f t="shared" si="9"/>
        <v>4408.0253518396748</v>
      </c>
      <c r="O15">
        <f t="shared" si="0"/>
        <v>129</v>
      </c>
      <c r="P15" s="6">
        <f t="shared" si="1"/>
        <v>4.1680129240710823E-2</v>
      </c>
      <c r="Q15" s="6">
        <f t="shared" si="2"/>
        <v>0.42424082450393369</v>
      </c>
      <c r="T15" s="11" t="str">
        <f>C290</f>
        <v>Lux Soap 100g</v>
      </c>
      <c r="U15" s="11">
        <f t="shared" si="3"/>
        <v>12122</v>
      </c>
      <c r="V15" s="11">
        <f t="shared" si="4"/>
        <v>12062.666666666666</v>
      </c>
      <c r="W15" s="11">
        <f t="shared" si="5"/>
        <v>12268.222222222221</v>
      </c>
      <c r="X15" s="11">
        <f t="shared" si="6"/>
        <v>12150.962962962962</v>
      </c>
      <c r="Y15" s="11">
        <f t="shared" si="7"/>
        <v>12160.617283950616</v>
      </c>
      <c r="Z15" s="11">
        <f t="shared" si="8"/>
        <v>12193.267489711934</v>
      </c>
      <c r="AA15" t="s">
        <v>102</v>
      </c>
      <c r="AB15" s="11">
        <f>Table1[[#This Row],[01-01-2025]]+Table1[[#This Row],[01-02-2025]]+Table1[[#This Row],[01-03-2025]]+Table1[[#This Row],[01-04-2025]]+Table1[[#This Row],[01-05-2025]]+Table1[[#This Row],[01-06-2025]]</f>
        <v>72957.736625514401</v>
      </c>
    </row>
    <row r="16" spans="1:28" x14ac:dyDescent="0.25">
      <c r="A16" s="2">
        <v>15</v>
      </c>
      <c r="B16" s="2" t="s">
        <v>12</v>
      </c>
      <c r="C16" s="2" t="s">
        <v>13</v>
      </c>
      <c r="D16" s="2" t="s">
        <v>74</v>
      </c>
      <c r="E16" s="2">
        <v>3</v>
      </c>
      <c r="F16" s="2">
        <v>2024</v>
      </c>
      <c r="G16" s="8" t="s">
        <v>92</v>
      </c>
      <c r="H16" s="2">
        <v>4103</v>
      </c>
      <c r="I16" s="2">
        <v>4399</v>
      </c>
      <c r="J16" s="2">
        <v>-296</v>
      </c>
      <c r="K16" s="2">
        <v>7.2</v>
      </c>
      <c r="L16" s="2" t="s">
        <v>83</v>
      </c>
      <c r="M16">
        <f t="shared" si="10"/>
        <v>4075</v>
      </c>
      <c r="N16">
        <f t="shared" si="9"/>
        <v>4014.1177462877722</v>
      </c>
      <c r="O16">
        <f t="shared" si="0"/>
        <v>296</v>
      </c>
      <c r="P16" s="6">
        <f t="shared" si="1"/>
        <v>7.2142334876919331E-2</v>
      </c>
      <c r="Q16" s="6">
        <f t="shared" si="2"/>
        <v>2.1662747675415012E-2</v>
      </c>
      <c r="T16" s="11" t="str">
        <f>C290</f>
        <v>Lux Soap 100g</v>
      </c>
      <c r="U16" s="11">
        <f t="shared" si="3"/>
        <v>13605.333333333334</v>
      </c>
      <c r="V16" s="11">
        <f t="shared" si="4"/>
        <v>14321.111111111111</v>
      </c>
      <c r="W16" s="11">
        <f t="shared" si="5"/>
        <v>14089.481481481482</v>
      </c>
      <c r="X16" s="11">
        <f t="shared" si="6"/>
        <v>14005.308641975309</v>
      </c>
      <c r="Y16" s="11">
        <f t="shared" si="7"/>
        <v>14138.633744855966</v>
      </c>
      <c r="Z16" s="11">
        <f t="shared" si="8"/>
        <v>14077.807956104252</v>
      </c>
      <c r="AA16" t="s">
        <v>103</v>
      </c>
      <c r="AB16" s="11">
        <f>Table1[[#This Row],[01-01-2025]]+Table1[[#This Row],[01-02-2025]]+Table1[[#This Row],[01-03-2025]]+Table1[[#This Row],[01-04-2025]]+Table1[[#This Row],[01-05-2025]]+Table1[[#This Row],[01-06-2025]]</f>
        <v>84237.676268861454</v>
      </c>
    </row>
    <row r="17" spans="1:28" x14ac:dyDescent="0.25">
      <c r="A17" s="3">
        <v>16</v>
      </c>
      <c r="B17" s="3" t="s">
        <v>12</v>
      </c>
      <c r="C17" s="3" t="s">
        <v>13</v>
      </c>
      <c r="D17" s="3" t="s">
        <v>74</v>
      </c>
      <c r="E17" s="3">
        <v>4</v>
      </c>
      <c r="F17" s="3">
        <v>2024</v>
      </c>
      <c r="G17" s="9" t="s">
        <v>93</v>
      </c>
      <c r="H17" s="3">
        <v>3889</v>
      </c>
      <c r="I17" s="3">
        <v>3554</v>
      </c>
      <c r="J17" s="3">
        <v>335</v>
      </c>
      <c r="K17" s="3">
        <v>8.6</v>
      </c>
      <c r="L17" s="3" t="s">
        <v>83</v>
      </c>
      <c r="M17">
        <f t="shared" si="10"/>
        <v>3577.6666666666665</v>
      </c>
      <c r="N17">
        <f t="shared" si="9"/>
        <v>4040.7824224014403</v>
      </c>
      <c r="O17">
        <f t="shared" si="0"/>
        <v>335</v>
      </c>
      <c r="P17" s="6">
        <f t="shared" si="1"/>
        <v>8.6140395988686044E-2</v>
      </c>
      <c r="Q17" s="6">
        <f t="shared" si="2"/>
        <v>3.9028650656065894E-2</v>
      </c>
      <c r="T17" s="11" t="str">
        <f>C362</f>
        <v>Lifebuoy 125g</v>
      </c>
      <c r="U17" s="11">
        <f t="shared" si="3"/>
        <v>13765</v>
      </c>
      <c r="V17" s="11">
        <f t="shared" si="4"/>
        <v>14162.666666666666</v>
      </c>
      <c r="W17" s="11">
        <f t="shared" si="5"/>
        <v>13782.222222222221</v>
      </c>
      <c r="X17" s="11">
        <f t="shared" si="6"/>
        <v>13903.296296296294</v>
      </c>
      <c r="Y17" s="11">
        <f t="shared" si="7"/>
        <v>13949.395061728394</v>
      </c>
      <c r="Z17" s="11">
        <f t="shared" si="8"/>
        <v>13878.304526748971</v>
      </c>
      <c r="AA17" t="s">
        <v>74</v>
      </c>
      <c r="AB17" s="11">
        <f>Table1[[#This Row],[01-01-2025]]+Table1[[#This Row],[01-02-2025]]+Table1[[#This Row],[01-03-2025]]+Table1[[#This Row],[01-04-2025]]+Table1[[#This Row],[01-05-2025]]+Table1[[#This Row],[01-06-2025]]</f>
        <v>83440.884773662532</v>
      </c>
    </row>
    <row r="18" spans="1:28" x14ac:dyDescent="0.25">
      <c r="A18" s="2">
        <v>17</v>
      </c>
      <c r="B18" s="2" t="s">
        <v>12</v>
      </c>
      <c r="C18" s="2" t="s">
        <v>13</v>
      </c>
      <c r="D18" s="2" t="s">
        <v>74</v>
      </c>
      <c r="E18" s="2">
        <v>5</v>
      </c>
      <c r="F18" s="2">
        <v>2024</v>
      </c>
      <c r="G18" s="8" t="s">
        <v>94</v>
      </c>
      <c r="H18" s="2">
        <v>4122</v>
      </c>
      <c r="I18" s="2">
        <v>3948</v>
      </c>
      <c r="J18" s="2">
        <v>174</v>
      </c>
      <c r="K18" s="2">
        <v>4.2</v>
      </c>
      <c r="L18" s="2" t="s">
        <v>78</v>
      </c>
      <c r="M18">
        <f>AVERAGE(H15:H17)</f>
        <v>3695.6666666666665</v>
      </c>
      <c r="N18">
        <f>0.3*H17+(0.7*N17)</f>
        <v>3995.2476956810078</v>
      </c>
      <c r="O18">
        <f t="shared" si="0"/>
        <v>174</v>
      </c>
      <c r="P18" s="6">
        <f t="shared" si="1"/>
        <v>4.2212518195050945E-2</v>
      </c>
      <c r="Q18" s="6">
        <f t="shared" si="2"/>
        <v>3.0750195128333862E-2</v>
      </c>
      <c r="T18" s="11" t="str">
        <f>C362</f>
        <v>Lifebuoy 125g</v>
      </c>
      <c r="U18" s="11">
        <f t="shared" si="3"/>
        <v>11862.666666666666</v>
      </c>
      <c r="V18" s="11">
        <f t="shared" si="4"/>
        <v>12446.222222222221</v>
      </c>
      <c r="W18" s="11">
        <f t="shared" si="5"/>
        <v>12369.296296296294</v>
      </c>
      <c r="X18" s="11">
        <f t="shared" si="6"/>
        <v>12226.061728395061</v>
      </c>
      <c r="Y18" s="11">
        <f t="shared" si="7"/>
        <v>12347.193415637857</v>
      </c>
      <c r="Z18" s="11">
        <f t="shared" si="8"/>
        <v>12314.183813443071</v>
      </c>
      <c r="AA18" t="s">
        <v>102</v>
      </c>
      <c r="AB18" s="11">
        <f>Table1[[#This Row],[01-01-2025]]+Table1[[#This Row],[01-02-2025]]+Table1[[#This Row],[01-03-2025]]+Table1[[#This Row],[01-04-2025]]+Table1[[#This Row],[01-05-2025]]+Table1[[#This Row],[01-06-2025]]</f>
        <v>73565.624142661167</v>
      </c>
    </row>
    <row r="19" spans="1:28" x14ac:dyDescent="0.25">
      <c r="A19" s="3">
        <v>18</v>
      </c>
      <c r="B19" s="3" t="s">
        <v>12</v>
      </c>
      <c r="C19" s="3" t="s">
        <v>13</v>
      </c>
      <c r="D19" s="3" t="s">
        <v>74</v>
      </c>
      <c r="E19" s="3">
        <v>6</v>
      </c>
      <c r="F19" s="3">
        <v>2024</v>
      </c>
      <c r="G19" s="9" t="s">
        <v>95</v>
      </c>
      <c r="H19" s="3">
        <v>5013</v>
      </c>
      <c r="I19" s="3">
        <v>5380</v>
      </c>
      <c r="J19" s="3">
        <v>-367</v>
      </c>
      <c r="K19" s="3">
        <v>7.3</v>
      </c>
      <c r="L19" s="3" t="s">
        <v>76</v>
      </c>
      <c r="M19">
        <f>AVERAGE(H16:H18)</f>
        <v>4038</v>
      </c>
      <c r="N19">
        <f t="shared" si="9"/>
        <v>4033.2733869767053</v>
      </c>
      <c r="O19">
        <f t="shared" si="0"/>
        <v>367</v>
      </c>
      <c r="P19" s="6">
        <f t="shared" si="1"/>
        <v>7.3209654897267107E-2</v>
      </c>
      <c r="Q19" s="6">
        <f t="shared" si="2"/>
        <v>0.19543718592126366</v>
      </c>
      <c r="T19" s="11" t="str">
        <f>C362</f>
        <v>Lifebuoy 125g</v>
      </c>
      <c r="U19" s="11">
        <f t="shared" si="3"/>
        <v>13030.666666666666</v>
      </c>
      <c r="V19" s="11">
        <f t="shared" si="4"/>
        <v>13397.888888888889</v>
      </c>
      <c r="W19" s="11">
        <f t="shared" si="5"/>
        <v>13370.851851851852</v>
      </c>
      <c r="X19" s="11">
        <f t="shared" si="6"/>
        <v>13266.46913580247</v>
      </c>
      <c r="Y19" s="11">
        <f t="shared" si="7"/>
        <v>13345.069958847736</v>
      </c>
      <c r="Z19" s="11">
        <f t="shared" si="8"/>
        <v>13327.463648834018</v>
      </c>
      <c r="AA19" t="s">
        <v>103</v>
      </c>
      <c r="AB19" s="11">
        <f>Table1[[#This Row],[01-01-2025]]+Table1[[#This Row],[01-02-2025]]+Table1[[#This Row],[01-03-2025]]+Table1[[#This Row],[01-04-2025]]+Table1[[#This Row],[01-05-2025]]+Table1[[#This Row],[01-06-2025]]</f>
        <v>79738.410150891636</v>
      </c>
    </row>
    <row r="20" spans="1:28" x14ac:dyDescent="0.25">
      <c r="A20" s="2">
        <v>19</v>
      </c>
      <c r="B20" s="2" t="s">
        <v>12</v>
      </c>
      <c r="C20" s="2" t="s">
        <v>13</v>
      </c>
      <c r="D20" s="2" t="s">
        <v>74</v>
      </c>
      <c r="E20" s="2">
        <v>7</v>
      </c>
      <c r="F20" s="2">
        <v>2024</v>
      </c>
      <c r="G20" s="8" t="s">
        <v>96</v>
      </c>
      <c r="H20" s="2">
        <v>4294</v>
      </c>
      <c r="I20" s="2">
        <v>4410</v>
      </c>
      <c r="J20" s="2">
        <v>-116</v>
      </c>
      <c r="K20" s="2">
        <v>2.7</v>
      </c>
      <c r="L20" s="2" t="s">
        <v>76</v>
      </c>
      <c r="M20">
        <f>AVERAGE(H17:H19)</f>
        <v>4341.333333333333</v>
      </c>
      <c r="N20">
        <f t="shared" si="9"/>
        <v>4327.1913708836937</v>
      </c>
      <c r="O20">
        <f t="shared" si="0"/>
        <v>116</v>
      </c>
      <c r="P20" s="6">
        <f t="shared" si="1"/>
        <v>2.7014438751746622E-2</v>
      </c>
      <c r="Q20" s="6">
        <f t="shared" si="2"/>
        <v>7.7297091019314645E-3</v>
      </c>
      <c r="T20" s="11" t="str">
        <f>C435</f>
        <v>Dove Shampoo 180ml</v>
      </c>
      <c r="U20" s="11">
        <f t="shared" si="3"/>
        <v>2247</v>
      </c>
      <c r="V20" s="11">
        <f t="shared" si="4"/>
        <v>2283.6666666666665</v>
      </c>
      <c r="W20" s="11">
        <f t="shared" si="5"/>
        <v>2306.5555555555552</v>
      </c>
      <c r="X20" s="11">
        <f t="shared" si="6"/>
        <v>2279.0740740740735</v>
      </c>
      <c r="Y20" s="11">
        <f t="shared" si="7"/>
        <v>2289.7654320987654</v>
      </c>
      <c r="Z20" s="11">
        <f t="shared" si="8"/>
        <v>2291.7983539094644</v>
      </c>
      <c r="AA20" t="s">
        <v>74</v>
      </c>
      <c r="AB20" s="11">
        <f>Table1[[#This Row],[01-01-2025]]+Table1[[#This Row],[01-02-2025]]+Table1[[#This Row],[01-03-2025]]+Table1[[#This Row],[01-04-2025]]+Table1[[#This Row],[01-05-2025]]+Table1[[#This Row],[01-06-2025]]</f>
        <v>13697.860082304524</v>
      </c>
    </row>
    <row r="21" spans="1:28" x14ac:dyDescent="0.25">
      <c r="A21" s="3">
        <v>20</v>
      </c>
      <c r="B21" s="3" t="s">
        <v>12</v>
      </c>
      <c r="C21" s="3" t="s">
        <v>13</v>
      </c>
      <c r="D21" s="3" t="s">
        <v>74</v>
      </c>
      <c r="E21" s="3">
        <v>8</v>
      </c>
      <c r="F21" s="3">
        <v>2024</v>
      </c>
      <c r="G21" s="9" t="s">
        <v>97</v>
      </c>
      <c r="H21" s="3">
        <v>4052</v>
      </c>
      <c r="I21" s="3">
        <v>3934</v>
      </c>
      <c r="J21" s="3">
        <v>118</v>
      </c>
      <c r="K21" s="3">
        <v>2.9</v>
      </c>
      <c r="L21" s="3" t="s">
        <v>83</v>
      </c>
      <c r="M21">
        <f t="shared" si="10"/>
        <v>4476.333333333333</v>
      </c>
      <c r="N21">
        <f t="shared" si="9"/>
        <v>4317.2339596185857</v>
      </c>
      <c r="O21">
        <f t="shared" si="0"/>
        <v>118</v>
      </c>
      <c r="P21" s="6">
        <f t="shared" si="1"/>
        <v>2.9121421520236921E-2</v>
      </c>
      <c r="Q21" s="6">
        <f t="shared" si="2"/>
        <v>6.5457541860460433E-2</v>
      </c>
      <c r="T21" s="11" t="str">
        <f>C435</f>
        <v>Dove Shampoo 180ml</v>
      </c>
      <c r="U21" s="11">
        <f t="shared" si="3"/>
        <v>1877.3333333333333</v>
      </c>
      <c r="V21" s="11">
        <f t="shared" si="4"/>
        <v>1942.1111111111111</v>
      </c>
      <c r="W21" s="11">
        <f t="shared" si="5"/>
        <v>2012.8148148148148</v>
      </c>
      <c r="X21" s="11">
        <f t="shared" si="6"/>
        <v>1944.0864197530864</v>
      </c>
      <c r="Y21" s="11">
        <f t="shared" si="7"/>
        <v>1966.3374485596707</v>
      </c>
      <c r="Z21" s="11">
        <f t="shared" si="8"/>
        <v>1974.4128943758571</v>
      </c>
      <c r="AA21" t="s">
        <v>102</v>
      </c>
      <c r="AB21" s="11">
        <f>Table1[[#This Row],[01-01-2025]]+Table1[[#This Row],[01-02-2025]]+Table1[[#This Row],[01-03-2025]]+Table1[[#This Row],[01-04-2025]]+Table1[[#This Row],[01-05-2025]]+Table1[[#This Row],[01-06-2025]]</f>
        <v>11717.096021947873</v>
      </c>
    </row>
    <row r="22" spans="1:28" x14ac:dyDescent="0.25">
      <c r="A22" s="2">
        <v>21</v>
      </c>
      <c r="B22" s="2" t="s">
        <v>12</v>
      </c>
      <c r="C22" s="2" t="s">
        <v>13</v>
      </c>
      <c r="D22" s="2" t="s">
        <v>74</v>
      </c>
      <c r="E22" s="2">
        <v>9</v>
      </c>
      <c r="F22" s="2">
        <v>2024</v>
      </c>
      <c r="G22" s="8" t="s">
        <v>98</v>
      </c>
      <c r="H22" s="2">
        <v>3965</v>
      </c>
      <c r="I22" s="2">
        <v>4311</v>
      </c>
      <c r="J22" s="2">
        <v>-346</v>
      </c>
      <c r="K22" s="2">
        <v>8.6999999999999993</v>
      </c>
      <c r="L22" s="2" t="s">
        <v>83</v>
      </c>
      <c r="M22">
        <f t="shared" si="10"/>
        <v>4453</v>
      </c>
      <c r="N22">
        <f t="shared" si="9"/>
        <v>4237.6637717330095</v>
      </c>
      <c r="O22">
        <f t="shared" si="0"/>
        <v>346</v>
      </c>
      <c r="P22" s="6">
        <f t="shared" si="1"/>
        <v>8.7263556116015134E-2</v>
      </c>
      <c r="Q22" s="6">
        <f t="shared" si="2"/>
        <v>6.8767659957883864E-2</v>
      </c>
      <c r="T22" s="11" t="str">
        <f>C435</f>
        <v>Dove Shampoo 180ml</v>
      </c>
      <c r="U22" s="11">
        <f t="shared" si="3"/>
        <v>1890.6666666666667</v>
      </c>
      <c r="V22" s="11">
        <f t="shared" si="4"/>
        <v>1963.5555555555557</v>
      </c>
      <c r="W22" s="11">
        <f t="shared" si="5"/>
        <v>1968.7407407407409</v>
      </c>
      <c r="X22" s="11">
        <f t="shared" si="6"/>
        <v>1940.9876543209878</v>
      </c>
      <c r="Y22" s="11">
        <f t="shared" si="7"/>
        <v>1957.7613168724281</v>
      </c>
      <c r="Z22" s="11">
        <f t="shared" si="8"/>
        <v>1955.8299039780522</v>
      </c>
      <c r="AA22" t="s">
        <v>103</v>
      </c>
      <c r="AB22" s="11">
        <f>Table1[[#This Row],[01-01-2025]]+Table1[[#This Row],[01-02-2025]]+Table1[[#This Row],[01-03-2025]]+Table1[[#This Row],[01-04-2025]]+Table1[[#This Row],[01-05-2025]]+Table1[[#This Row],[01-06-2025]]</f>
        <v>11677.541838134432</v>
      </c>
    </row>
    <row r="23" spans="1:28" x14ac:dyDescent="0.25">
      <c r="A23" s="3">
        <v>22</v>
      </c>
      <c r="B23" s="3" t="s">
        <v>12</v>
      </c>
      <c r="C23" s="3" t="s">
        <v>13</v>
      </c>
      <c r="D23" s="3" t="s">
        <v>74</v>
      </c>
      <c r="E23" s="3">
        <v>10</v>
      </c>
      <c r="F23" s="3">
        <v>2024</v>
      </c>
      <c r="G23" s="9" t="s">
        <v>99</v>
      </c>
      <c r="H23" s="3">
        <v>4144</v>
      </c>
      <c r="I23" s="3">
        <v>4255</v>
      </c>
      <c r="J23" s="3">
        <v>-111</v>
      </c>
      <c r="K23" s="3">
        <v>2.7</v>
      </c>
      <c r="L23" s="3" t="s">
        <v>83</v>
      </c>
      <c r="M23">
        <f t="shared" si="10"/>
        <v>4103.666666666667</v>
      </c>
      <c r="N23">
        <f t="shared" si="9"/>
        <v>4155.8646402131071</v>
      </c>
      <c r="O23">
        <f t="shared" si="0"/>
        <v>111</v>
      </c>
      <c r="P23" s="6">
        <f t="shared" si="1"/>
        <v>2.6785714285714284E-2</v>
      </c>
      <c r="Q23" s="6">
        <f t="shared" si="2"/>
        <v>2.8630888545142672E-3</v>
      </c>
      <c r="T23" s="11" t="str">
        <f>C506</f>
        <v>Sunsilk Shampoo 180ml</v>
      </c>
      <c r="U23" s="11">
        <f t="shared" si="3"/>
        <v>2597</v>
      </c>
      <c r="V23" s="11">
        <f t="shared" si="4"/>
        <v>2618.3333333333335</v>
      </c>
      <c r="W23" s="11">
        <f t="shared" si="5"/>
        <v>2581.4444444444448</v>
      </c>
      <c r="X23" s="11">
        <f t="shared" si="6"/>
        <v>2598.9259259259265</v>
      </c>
      <c r="Y23" s="11">
        <f t="shared" si="7"/>
        <v>2599.5679012345681</v>
      </c>
      <c r="Z23" s="11">
        <f t="shared" si="8"/>
        <v>2593.3127572016465</v>
      </c>
      <c r="AA23" t="s">
        <v>74</v>
      </c>
      <c r="AB23" s="11">
        <f>Table1[[#This Row],[01-01-2025]]+Table1[[#This Row],[01-02-2025]]+Table1[[#This Row],[01-03-2025]]+Table1[[#This Row],[01-04-2025]]+Table1[[#This Row],[01-05-2025]]+Table1[[#This Row],[01-06-2025]]</f>
        <v>15588.584362139922</v>
      </c>
    </row>
    <row r="24" spans="1:28" x14ac:dyDescent="0.25">
      <c r="A24" s="2">
        <v>23</v>
      </c>
      <c r="B24" s="2" t="s">
        <v>12</v>
      </c>
      <c r="C24" s="2" t="s">
        <v>13</v>
      </c>
      <c r="D24" s="2" t="s">
        <v>74</v>
      </c>
      <c r="E24" s="2">
        <v>11</v>
      </c>
      <c r="F24" s="2">
        <v>2024</v>
      </c>
      <c r="G24" s="8" t="s">
        <v>100</v>
      </c>
      <c r="H24" s="2">
        <v>5538</v>
      </c>
      <c r="I24" s="2">
        <v>5165</v>
      </c>
      <c r="J24" s="2">
        <v>373</v>
      </c>
      <c r="K24" s="2">
        <v>6.7</v>
      </c>
      <c r="L24" s="2" t="s">
        <v>76</v>
      </c>
      <c r="M24">
        <f t="shared" si="10"/>
        <v>4053.6666666666665</v>
      </c>
      <c r="N24">
        <f t="shared" si="9"/>
        <v>4152.305248149175</v>
      </c>
      <c r="O24">
        <f t="shared" si="0"/>
        <v>373</v>
      </c>
      <c r="P24" s="6">
        <f t="shared" si="1"/>
        <v>6.7352834958468763E-2</v>
      </c>
      <c r="Q24" s="6">
        <f t="shared" si="2"/>
        <v>0.25021573706226524</v>
      </c>
      <c r="T24" s="11" t="str">
        <f>C506</f>
        <v>Sunsilk Shampoo 180ml</v>
      </c>
      <c r="U24" s="11">
        <f t="shared" si="3"/>
        <v>2286.3333333333335</v>
      </c>
      <c r="V24" s="11">
        <f t="shared" si="4"/>
        <v>2412.1111111111113</v>
      </c>
      <c r="W24" s="11">
        <f t="shared" si="5"/>
        <v>2471.4814814814818</v>
      </c>
      <c r="X24" s="11">
        <f t="shared" si="6"/>
        <v>2389.9753086419755</v>
      </c>
      <c r="Y24" s="11">
        <f t="shared" si="7"/>
        <v>2424.5226337448562</v>
      </c>
      <c r="Z24" s="11">
        <f t="shared" si="8"/>
        <v>2428.6598079561045</v>
      </c>
      <c r="AA24" t="s">
        <v>102</v>
      </c>
      <c r="AB24" s="11">
        <f>Table1[[#This Row],[01-01-2025]]+Table1[[#This Row],[01-02-2025]]+Table1[[#This Row],[01-03-2025]]+Table1[[#This Row],[01-04-2025]]+Table1[[#This Row],[01-05-2025]]+Table1[[#This Row],[01-06-2025]]</f>
        <v>14413.083676268863</v>
      </c>
    </row>
    <row r="25" spans="1:28" x14ac:dyDescent="0.25">
      <c r="A25" s="3">
        <v>24</v>
      </c>
      <c r="B25" s="3" t="s">
        <v>12</v>
      </c>
      <c r="C25" s="3" t="s">
        <v>13</v>
      </c>
      <c r="D25" s="3" t="s">
        <v>74</v>
      </c>
      <c r="E25" s="3">
        <v>12</v>
      </c>
      <c r="F25" s="3">
        <v>2024</v>
      </c>
      <c r="G25" s="9" t="s">
        <v>101</v>
      </c>
      <c r="H25" s="3">
        <v>5158</v>
      </c>
      <c r="I25" s="3">
        <v>5596</v>
      </c>
      <c r="J25" s="3">
        <v>-438</v>
      </c>
      <c r="K25" s="3">
        <v>8.5</v>
      </c>
      <c r="L25" s="3" t="s">
        <v>83</v>
      </c>
      <c r="M25">
        <f t="shared" si="10"/>
        <v>4549</v>
      </c>
      <c r="N25">
        <f t="shared" si="9"/>
        <v>4568.0136737044222</v>
      </c>
      <c r="O25">
        <f t="shared" si="0"/>
        <v>438</v>
      </c>
      <c r="P25" s="6">
        <f t="shared" si="1"/>
        <v>8.491663435440093E-2</v>
      </c>
      <c r="Q25" s="6">
        <f t="shared" si="2"/>
        <v>0.11438276973547457</v>
      </c>
      <c r="T25" s="11" t="str">
        <f>C506</f>
        <v>Sunsilk Shampoo 180ml</v>
      </c>
      <c r="U25" s="11">
        <f t="shared" si="3"/>
        <v>2475.6666666666665</v>
      </c>
      <c r="V25" s="11">
        <f t="shared" si="4"/>
        <v>2558.2222222222222</v>
      </c>
      <c r="W25" s="11">
        <f t="shared" si="5"/>
        <v>2615.962962962963</v>
      </c>
      <c r="X25" s="11">
        <f t="shared" si="6"/>
        <v>2549.9506172839506</v>
      </c>
      <c r="Y25" s="11">
        <f t="shared" si="7"/>
        <v>2574.7119341563789</v>
      </c>
      <c r="Z25" s="11">
        <f t="shared" si="8"/>
        <v>2580.2085048010977</v>
      </c>
      <c r="AA25" t="s">
        <v>103</v>
      </c>
      <c r="AB25" s="11">
        <f>Table1[[#This Row],[01-01-2025]]+Table1[[#This Row],[01-02-2025]]+Table1[[#This Row],[01-03-2025]]+Table1[[#This Row],[01-04-2025]]+Table1[[#This Row],[01-05-2025]]+Table1[[#This Row],[01-06-2025]]</f>
        <v>15354.722908093279</v>
      </c>
    </row>
    <row r="26" spans="1:28" x14ac:dyDescent="0.25">
      <c r="A26" s="2">
        <v>25</v>
      </c>
      <c r="B26" s="2" t="s">
        <v>12</v>
      </c>
      <c r="C26" s="2" t="s">
        <v>13</v>
      </c>
      <c r="D26" s="2" t="s">
        <v>102</v>
      </c>
      <c r="E26" s="2">
        <v>1</v>
      </c>
      <c r="F26" s="2">
        <v>2023</v>
      </c>
      <c r="G26" s="8" t="s">
        <v>75</v>
      </c>
      <c r="H26" s="2">
        <v>3075</v>
      </c>
      <c r="I26" s="2">
        <v>3188</v>
      </c>
      <c r="J26" s="2">
        <v>-113</v>
      </c>
      <c r="K26" s="2">
        <v>3.7</v>
      </c>
      <c r="L26" s="2" t="s">
        <v>78</v>
      </c>
      <c r="M26">
        <f t="shared" si="10"/>
        <v>4946.666666666667</v>
      </c>
      <c r="N26">
        <f t="shared" si="9"/>
        <v>4745.0095715930956</v>
      </c>
      <c r="O26">
        <f t="shared" si="0"/>
        <v>113</v>
      </c>
      <c r="P26" s="6">
        <f t="shared" si="1"/>
        <v>3.6747967479674799E-2</v>
      </c>
      <c r="Q26" s="6">
        <f t="shared" si="2"/>
        <v>0.5430925436075108</v>
      </c>
      <c r="T26" s="11" t="str">
        <f>C649</f>
        <v>Vaseline 100ml</v>
      </c>
      <c r="U26" s="11">
        <f t="shared" si="3"/>
        <v>3385</v>
      </c>
      <c r="V26" s="11">
        <f t="shared" si="4"/>
        <v>3503.3333333333335</v>
      </c>
      <c r="W26" s="11">
        <f t="shared" si="5"/>
        <v>3411.7777777777778</v>
      </c>
      <c r="X26" s="11">
        <f t="shared" si="6"/>
        <v>3433.3703703703704</v>
      </c>
      <c r="Y26" s="11">
        <f t="shared" si="7"/>
        <v>3449.4938271604938</v>
      </c>
      <c r="Z26" s="11">
        <f t="shared" si="8"/>
        <v>3431.5473251028802</v>
      </c>
      <c r="AA26" t="s">
        <v>74</v>
      </c>
      <c r="AB26" s="11">
        <f>Table1[[#This Row],[01-01-2025]]+Table1[[#This Row],[01-02-2025]]+Table1[[#This Row],[01-03-2025]]+Table1[[#This Row],[01-04-2025]]+Table1[[#This Row],[01-05-2025]]+Table1[[#This Row],[01-06-2025]]</f>
        <v>20614.522633744858</v>
      </c>
    </row>
    <row r="27" spans="1:28" x14ac:dyDescent="0.25">
      <c r="A27" s="3">
        <v>26</v>
      </c>
      <c r="B27" s="3" t="s">
        <v>12</v>
      </c>
      <c r="C27" s="3" t="s">
        <v>13</v>
      </c>
      <c r="D27" s="3" t="s">
        <v>102</v>
      </c>
      <c r="E27" s="3">
        <v>2</v>
      </c>
      <c r="F27" s="3">
        <v>2023</v>
      </c>
      <c r="G27" s="9" t="s">
        <v>77</v>
      </c>
      <c r="H27" s="3">
        <v>2737</v>
      </c>
      <c r="I27" s="3">
        <v>2480</v>
      </c>
      <c r="J27" s="3">
        <v>257</v>
      </c>
      <c r="K27" s="3">
        <v>9.4</v>
      </c>
      <c r="L27" s="3" t="s">
        <v>76</v>
      </c>
      <c r="M27">
        <f t="shared" si="10"/>
        <v>4590.333333333333</v>
      </c>
      <c r="N27">
        <f t="shared" si="9"/>
        <v>4244.0067001151674</v>
      </c>
      <c r="O27">
        <f t="shared" si="0"/>
        <v>257</v>
      </c>
      <c r="P27" s="6">
        <f t="shared" si="1"/>
        <v>9.3898428936792108E-2</v>
      </c>
      <c r="Q27" s="6">
        <f t="shared" si="2"/>
        <v>0.55060529781336043</v>
      </c>
      <c r="T27" s="11" t="str">
        <f>C649</f>
        <v>Vaseline 100ml</v>
      </c>
      <c r="U27" s="11">
        <f t="shared" si="3"/>
        <v>2859</v>
      </c>
      <c r="V27" s="11">
        <f t="shared" si="4"/>
        <v>3033.6666666666665</v>
      </c>
      <c r="W27" s="11">
        <f t="shared" si="5"/>
        <v>3072.8888888888887</v>
      </c>
      <c r="X27" s="11">
        <f t="shared" si="6"/>
        <v>2988.5185185185182</v>
      </c>
      <c r="Y27" s="11">
        <f t="shared" si="7"/>
        <v>3031.691358024691</v>
      </c>
      <c r="Z27" s="11">
        <f t="shared" si="8"/>
        <v>3031.0329218106995</v>
      </c>
      <c r="AA27" t="s">
        <v>102</v>
      </c>
      <c r="AB27" s="11">
        <f>Table1[[#This Row],[01-01-2025]]+Table1[[#This Row],[01-02-2025]]+Table1[[#This Row],[01-03-2025]]+Table1[[#This Row],[01-04-2025]]+Table1[[#This Row],[01-05-2025]]+Table1[[#This Row],[01-06-2025]]</f>
        <v>18016.798353909464</v>
      </c>
    </row>
    <row r="28" spans="1:28" x14ac:dyDescent="0.25">
      <c r="A28" s="2">
        <v>27</v>
      </c>
      <c r="B28" s="2" t="s">
        <v>12</v>
      </c>
      <c r="C28" s="2" t="s">
        <v>13</v>
      </c>
      <c r="D28" s="2" t="s">
        <v>102</v>
      </c>
      <c r="E28" s="2">
        <v>3</v>
      </c>
      <c r="F28" s="2">
        <v>2023</v>
      </c>
      <c r="G28" s="8" t="s">
        <v>79</v>
      </c>
      <c r="H28" s="2">
        <v>3311</v>
      </c>
      <c r="I28" s="2">
        <v>3023</v>
      </c>
      <c r="J28" s="2">
        <v>288</v>
      </c>
      <c r="K28" s="2">
        <v>8.6999999999999993</v>
      </c>
      <c r="L28" s="2" t="s">
        <v>83</v>
      </c>
      <c r="M28">
        <f t="shared" si="10"/>
        <v>3656.6666666666665</v>
      </c>
      <c r="N28">
        <f t="shared" si="9"/>
        <v>3791.904690080617</v>
      </c>
      <c r="O28">
        <f t="shared" si="0"/>
        <v>288</v>
      </c>
      <c r="P28" s="6">
        <f t="shared" si="1"/>
        <v>8.6982784657203258E-2</v>
      </c>
      <c r="Q28" s="6">
        <f t="shared" si="2"/>
        <v>0.14524454547889368</v>
      </c>
      <c r="T28" s="11" t="str">
        <f>C649</f>
        <v>Vaseline 100ml</v>
      </c>
      <c r="U28" s="11">
        <f t="shared" si="3"/>
        <v>3244.3333333333335</v>
      </c>
      <c r="V28" s="11">
        <f t="shared" si="4"/>
        <v>3375.7777777777778</v>
      </c>
      <c r="W28" s="11">
        <f t="shared" si="5"/>
        <v>3368.037037037037</v>
      </c>
      <c r="X28" s="11">
        <f t="shared" si="6"/>
        <v>3329.3827160493825</v>
      </c>
      <c r="Y28" s="11">
        <f t="shared" si="7"/>
        <v>3357.7325102880659</v>
      </c>
      <c r="Z28" s="11">
        <f t="shared" si="8"/>
        <v>3351.7174211248289</v>
      </c>
      <c r="AA28" t="s">
        <v>103</v>
      </c>
      <c r="AB28" s="11">
        <f>Table1[[#This Row],[01-01-2025]]+Table1[[#This Row],[01-02-2025]]+Table1[[#This Row],[01-03-2025]]+Table1[[#This Row],[01-04-2025]]+Table1[[#This Row],[01-05-2025]]+Table1[[#This Row],[01-06-2025]]</f>
        <v>20026.980795610423</v>
      </c>
    </row>
    <row r="29" spans="1:28" x14ac:dyDescent="0.25">
      <c r="A29" s="3">
        <v>28</v>
      </c>
      <c r="B29" s="3" t="s">
        <v>12</v>
      </c>
      <c r="C29" s="3" t="s">
        <v>13</v>
      </c>
      <c r="D29" s="3" t="s">
        <v>102</v>
      </c>
      <c r="E29" s="3">
        <v>4</v>
      </c>
      <c r="F29" s="3">
        <v>2023</v>
      </c>
      <c r="G29" s="9" t="s">
        <v>80</v>
      </c>
      <c r="H29" s="3">
        <v>3892</v>
      </c>
      <c r="I29" s="3">
        <v>3747</v>
      </c>
      <c r="J29" s="3">
        <v>145</v>
      </c>
      <c r="K29" s="3">
        <v>3.7</v>
      </c>
      <c r="L29" s="3" t="s">
        <v>83</v>
      </c>
      <c r="M29">
        <f t="shared" si="10"/>
        <v>3041</v>
      </c>
      <c r="N29">
        <f t="shared" si="9"/>
        <v>3647.6332830564315</v>
      </c>
      <c r="O29">
        <f t="shared" si="0"/>
        <v>145</v>
      </c>
      <c r="P29" s="6">
        <f t="shared" si="1"/>
        <v>3.7255909558067832E-2</v>
      </c>
      <c r="Q29" s="6">
        <f t="shared" si="2"/>
        <v>6.2786926244493432E-2</v>
      </c>
      <c r="T29" s="11" t="str">
        <f>C650</f>
        <v>Clinic Plus 80ml</v>
      </c>
      <c r="U29" s="11">
        <f t="shared" si="3"/>
        <v>4435.333333333333</v>
      </c>
      <c r="V29" s="11">
        <f t="shared" si="4"/>
        <v>4547.1111111111104</v>
      </c>
      <c r="W29" s="11">
        <f t="shared" si="5"/>
        <v>4532.8148148148139</v>
      </c>
      <c r="X29" s="11">
        <f t="shared" si="6"/>
        <v>4505.0864197530855</v>
      </c>
      <c r="Y29" s="11">
        <f t="shared" si="7"/>
        <v>4528.3374485596696</v>
      </c>
      <c r="Z29" s="11">
        <f t="shared" si="8"/>
        <v>4522.079561042523</v>
      </c>
      <c r="AA29" t="s">
        <v>74</v>
      </c>
      <c r="AB29" s="11">
        <f>Table1[[#This Row],[01-01-2025]]+Table1[[#This Row],[01-02-2025]]+Table1[[#This Row],[01-03-2025]]+Table1[[#This Row],[01-04-2025]]+Table1[[#This Row],[01-05-2025]]+Table1[[#This Row],[01-06-2025]]</f>
        <v>27070.762688614534</v>
      </c>
    </row>
    <row r="30" spans="1:28" x14ac:dyDescent="0.25">
      <c r="A30" s="2">
        <v>29</v>
      </c>
      <c r="B30" s="2" t="s">
        <v>12</v>
      </c>
      <c r="C30" s="2" t="s">
        <v>13</v>
      </c>
      <c r="D30" s="2" t="s">
        <v>102</v>
      </c>
      <c r="E30" s="2">
        <v>5</v>
      </c>
      <c r="F30" s="2">
        <v>2023</v>
      </c>
      <c r="G30" s="8" t="s">
        <v>81</v>
      </c>
      <c r="H30" s="2">
        <v>3747</v>
      </c>
      <c r="I30" s="2">
        <v>4035</v>
      </c>
      <c r="J30" s="2">
        <v>-288</v>
      </c>
      <c r="K30" s="2">
        <v>7.7</v>
      </c>
      <c r="L30" s="2" t="s">
        <v>83</v>
      </c>
      <c r="M30">
        <f t="shared" si="10"/>
        <v>3313.3333333333335</v>
      </c>
      <c r="N30">
        <f t="shared" si="9"/>
        <v>3720.9432981395016</v>
      </c>
      <c r="O30">
        <f t="shared" si="0"/>
        <v>288</v>
      </c>
      <c r="P30" s="6">
        <f t="shared" si="1"/>
        <v>7.6861489191353077E-2</v>
      </c>
      <c r="Q30" s="6">
        <f t="shared" si="2"/>
        <v>6.9540170431007147E-3</v>
      </c>
      <c r="T30" s="11" t="str">
        <f>C650</f>
        <v>Clinic Plus 80ml</v>
      </c>
      <c r="U30" s="11">
        <f t="shared" si="3"/>
        <v>3681.6666666666665</v>
      </c>
      <c r="V30" s="11">
        <f t="shared" si="4"/>
        <v>3719.5555555555552</v>
      </c>
      <c r="W30" s="11">
        <f t="shared" si="5"/>
        <v>3689.4074074074069</v>
      </c>
      <c r="X30" s="11">
        <f t="shared" si="6"/>
        <v>3696.8765432098758</v>
      </c>
      <c r="Y30" s="11">
        <f t="shared" si="7"/>
        <v>3701.9465020576122</v>
      </c>
      <c r="Z30" s="11">
        <f t="shared" si="8"/>
        <v>3696.076817558298</v>
      </c>
      <c r="AA30" t="s">
        <v>102</v>
      </c>
      <c r="AB30" s="11">
        <f>Table1[[#This Row],[01-01-2025]]+Table1[[#This Row],[01-02-2025]]+Table1[[#This Row],[01-03-2025]]+Table1[[#This Row],[01-04-2025]]+Table1[[#This Row],[01-05-2025]]+Table1[[#This Row],[01-06-2025]]</f>
        <v>22185.529492455411</v>
      </c>
    </row>
    <row r="31" spans="1:28" x14ac:dyDescent="0.25">
      <c r="A31" s="3">
        <v>30</v>
      </c>
      <c r="B31" s="3" t="s">
        <v>12</v>
      </c>
      <c r="C31" s="3" t="s">
        <v>13</v>
      </c>
      <c r="D31" s="3" t="s">
        <v>102</v>
      </c>
      <c r="E31" s="3">
        <v>6</v>
      </c>
      <c r="F31" s="3">
        <v>2023</v>
      </c>
      <c r="G31" s="9" t="s">
        <v>82</v>
      </c>
      <c r="H31" s="3">
        <v>3888</v>
      </c>
      <c r="I31" s="3">
        <v>3705</v>
      </c>
      <c r="J31" s="3">
        <v>183</v>
      </c>
      <c r="K31" s="3">
        <v>4.7</v>
      </c>
      <c r="L31" s="3" t="s">
        <v>78</v>
      </c>
      <c r="M31">
        <f t="shared" si="10"/>
        <v>3650</v>
      </c>
      <c r="N31">
        <f t="shared" si="9"/>
        <v>3728.760308697651</v>
      </c>
      <c r="O31">
        <f t="shared" si="0"/>
        <v>183</v>
      </c>
      <c r="P31" s="6">
        <f t="shared" si="1"/>
        <v>4.7067901234567902E-2</v>
      </c>
      <c r="Q31" s="6">
        <f t="shared" si="2"/>
        <v>4.0956710725912809E-2</v>
      </c>
      <c r="T31" s="11" t="str">
        <f>C650</f>
        <v>Clinic Plus 80ml</v>
      </c>
      <c r="U31" s="11">
        <f t="shared" si="3"/>
        <v>4336.333333333333</v>
      </c>
      <c r="V31" s="11">
        <f t="shared" si="4"/>
        <v>4487.4444444444443</v>
      </c>
      <c r="W31" s="11">
        <f t="shared" si="5"/>
        <v>4510.9259259259261</v>
      </c>
      <c r="X31" s="11">
        <f t="shared" si="6"/>
        <v>4444.9012345679012</v>
      </c>
      <c r="Y31" s="11">
        <f t="shared" si="7"/>
        <v>4481.0905349794239</v>
      </c>
      <c r="Z31" s="11">
        <f t="shared" si="8"/>
        <v>4478.9725651577501</v>
      </c>
      <c r="AA31" t="s">
        <v>103</v>
      </c>
      <c r="AB31" s="11">
        <f>Table1[[#This Row],[01-01-2025]]+Table1[[#This Row],[01-02-2025]]+Table1[[#This Row],[01-03-2025]]+Table1[[#This Row],[01-04-2025]]+Table1[[#This Row],[01-05-2025]]+Table1[[#This Row],[01-06-2025]]</f>
        <v>26739.668038408778</v>
      </c>
    </row>
    <row r="32" spans="1:28" x14ac:dyDescent="0.25">
      <c r="A32" s="2">
        <v>31</v>
      </c>
      <c r="B32" s="2" t="s">
        <v>12</v>
      </c>
      <c r="C32" s="2" t="s">
        <v>13</v>
      </c>
      <c r="D32" s="2" t="s">
        <v>102</v>
      </c>
      <c r="E32" s="2">
        <v>7</v>
      </c>
      <c r="F32" s="2">
        <v>2023</v>
      </c>
      <c r="G32" s="8" t="s">
        <v>84</v>
      </c>
      <c r="H32" s="2">
        <v>4082</v>
      </c>
      <c r="I32" s="2">
        <v>4113</v>
      </c>
      <c r="J32" s="2">
        <v>-31</v>
      </c>
      <c r="K32" s="2">
        <v>0.8</v>
      </c>
      <c r="L32" s="2" t="s">
        <v>83</v>
      </c>
      <c r="M32">
        <f t="shared" si="10"/>
        <v>3842.3333333333335</v>
      </c>
      <c r="N32">
        <f t="shared" si="9"/>
        <v>3776.5322160883552</v>
      </c>
      <c r="O32">
        <f t="shared" si="0"/>
        <v>31</v>
      </c>
      <c r="P32" s="6">
        <f t="shared" si="1"/>
        <v>7.5943165115139634E-3</v>
      </c>
      <c r="Q32" s="6">
        <f t="shared" si="2"/>
        <v>7.4832872099863987E-2</v>
      </c>
      <c r="T32" s="11" t="str">
        <f>C722</f>
        <v>Rin Powder 1kg</v>
      </c>
      <c r="U32" s="11">
        <f t="shared" si="3"/>
        <v>4733</v>
      </c>
      <c r="V32" s="11">
        <f t="shared" si="4"/>
        <v>4805.666666666667</v>
      </c>
      <c r="W32" s="11">
        <f t="shared" si="5"/>
        <v>4838.5555555555557</v>
      </c>
      <c r="X32" s="11">
        <f t="shared" si="6"/>
        <v>4792.4074074074078</v>
      </c>
      <c r="Y32" s="11">
        <f t="shared" si="7"/>
        <v>4812.2098765432102</v>
      </c>
      <c r="Z32" s="11">
        <f t="shared" si="8"/>
        <v>4814.3909465020579</v>
      </c>
      <c r="AA32" t="s">
        <v>74</v>
      </c>
      <c r="AB32" s="11">
        <f>Table1[[#This Row],[01-01-2025]]+Table1[[#This Row],[01-02-2025]]+Table1[[#This Row],[01-03-2025]]+Table1[[#This Row],[01-04-2025]]+Table1[[#This Row],[01-05-2025]]+Table1[[#This Row],[01-06-2025]]</f>
        <v>28796.230452674899</v>
      </c>
    </row>
    <row r="33" spans="1:28" x14ac:dyDescent="0.25">
      <c r="A33" s="3">
        <v>32</v>
      </c>
      <c r="B33" s="3" t="s">
        <v>12</v>
      </c>
      <c r="C33" s="3" t="s">
        <v>13</v>
      </c>
      <c r="D33" s="3" t="s">
        <v>102</v>
      </c>
      <c r="E33" s="3">
        <v>8</v>
      </c>
      <c r="F33" s="3">
        <v>2023</v>
      </c>
      <c r="G33" s="9" t="s">
        <v>85</v>
      </c>
      <c r="H33" s="3">
        <v>3824</v>
      </c>
      <c r="I33" s="3">
        <v>4128</v>
      </c>
      <c r="J33" s="3">
        <v>-304</v>
      </c>
      <c r="K33" s="3">
        <v>7.9</v>
      </c>
      <c r="L33" s="3" t="s">
        <v>76</v>
      </c>
      <c r="M33">
        <f t="shared" si="10"/>
        <v>3905.6666666666665</v>
      </c>
      <c r="N33">
        <f t="shared" si="9"/>
        <v>3868.1725512618482</v>
      </c>
      <c r="O33">
        <f t="shared" si="0"/>
        <v>304</v>
      </c>
      <c r="P33" s="6">
        <f t="shared" si="1"/>
        <v>7.9497907949790794E-2</v>
      </c>
      <c r="Q33" s="6">
        <f t="shared" si="2"/>
        <v>1.1551399388558625E-2</v>
      </c>
      <c r="T33" s="11" t="str">
        <f>C722</f>
        <v>Rin Powder 1kg</v>
      </c>
      <c r="U33" s="11">
        <f t="shared" si="3"/>
        <v>3858.3333333333335</v>
      </c>
      <c r="V33" s="11">
        <f t="shared" si="4"/>
        <v>4061.4444444444448</v>
      </c>
      <c r="W33" s="11">
        <f t="shared" si="5"/>
        <v>4049.5925925925931</v>
      </c>
      <c r="X33" s="11">
        <f t="shared" si="6"/>
        <v>3989.7901234567908</v>
      </c>
      <c r="Y33" s="11">
        <f t="shared" si="7"/>
        <v>4033.609053497943</v>
      </c>
      <c r="Z33" s="11">
        <f t="shared" si="8"/>
        <v>4024.3305898491089</v>
      </c>
      <c r="AA33" t="s">
        <v>102</v>
      </c>
      <c r="AB33" s="11">
        <f>Table1[[#This Row],[01-01-2025]]+Table1[[#This Row],[01-02-2025]]+Table1[[#This Row],[01-03-2025]]+Table1[[#This Row],[01-04-2025]]+Table1[[#This Row],[01-05-2025]]+Table1[[#This Row],[01-06-2025]]</f>
        <v>24017.100137174217</v>
      </c>
    </row>
    <row r="34" spans="1:28" x14ac:dyDescent="0.25">
      <c r="A34" s="2">
        <v>33</v>
      </c>
      <c r="B34" s="2" t="s">
        <v>12</v>
      </c>
      <c r="C34" s="2" t="s">
        <v>13</v>
      </c>
      <c r="D34" s="2" t="s">
        <v>102</v>
      </c>
      <c r="E34" s="2">
        <v>9</v>
      </c>
      <c r="F34" s="2">
        <v>2023</v>
      </c>
      <c r="G34" s="8" t="s">
        <v>86</v>
      </c>
      <c r="H34" s="2">
        <v>3451</v>
      </c>
      <c r="I34" s="2">
        <v>3794</v>
      </c>
      <c r="J34" s="2">
        <v>-343</v>
      </c>
      <c r="K34" s="2">
        <v>9.9</v>
      </c>
      <c r="L34" s="2" t="s">
        <v>78</v>
      </c>
      <c r="M34">
        <f t="shared" si="10"/>
        <v>3931.3333333333335</v>
      </c>
      <c r="N34">
        <f t="shared" si="9"/>
        <v>3854.9207858832933</v>
      </c>
      <c r="O34">
        <f t="shared" si="0"/>
        <v>343</v>
      </c>
      <c r="P34" s="6">
        <f t="shared" si="1"/>
        <v>9.9391480730223122E-2</v>
      </c>
      <c r="Q34" s="6">
        <f t="shared" si="2"/>
        <v>0.11704456270162078</v>
      </c>
      <c r="T34" s="11" t="str">
        <f>C722</f>
        <v>Rin Powder 1kg</v>
      </c>
      <c r="U34" s="11">
        <f t="shared" si="3"/>
        <v>4508</v>
      </c>
      <c r="V34" s="11">
        <f t="shared" si="4"/>
        <v>4687.333333333333</v>
      </c>
      <c r="W34" s="11">
        <f t="shared" si="5"/>
        <v>4804.4444444444443</v>
      </c>
      <c r="X34" s="11">
        <f t="shared" si="6"/>
        <v>4666.5925925925922</v>
      </c>
      <c r="Y34" s="11">
        <f t="shared" si="7"/>
        <v>4719.4567901234559</v>
      </c>
      <c r="Z34" s="11">
        <f t="shared" si="8"/>
        <v>4730.1646090534969</v>
      </c>
      <c r="AA34" t="s">
        <v>103</v>
      </c>
      <c r="AB34" s="11">
        <f>Table1[[#This Row],[01-01-2025]]+Table1[[#This Row],[01-02-2025]]+Table1[[#This Row],[01-03-2025]]+Table1[[#This Row],[01-04-2025]]+Table1[[#This Row],[01-05-2025]]+Table1[[#This Row],[01-06-2025]]</f>
        <v>28115.99176954732</v>
      </c>
    </row>
    <row r="35" spans="1:28" x14ac:dyDescent="0.25">
      <c r="A35" s="3">
        <v>34</v>
      </c>
      <c r="B35" s="3" t="s">
        <v>12</v>
      </c>
      <c r="C35" s="3" t="s">
        <v>13</v>
      </c>
      <c r="D35" s="3" t="s">
        <v>102</v>
      </c>
      <c r="E35" s="3">
        <v>10</v>
      </c>
      <c r="F35" s="3">
        <v>2023</v>
      </c>
      <c r="G35" s="9" t="s">
        <v>87</v>
      </c>
      <c r="H35" s="3">
        <v>3935</v>
      </c>
      <c r="I35" s="3">
        <v>3613</v>
      </c>
      <c r="J35" s="3">
        <v>322</v>
      </c>
      <c r="K35" s="3">
        <v>8.1999999999999993</v>
      </c>
      <c r="L35" s="3" t="s">
        <v>78</v>
      </c>
      <c r="M35">
        <f t="shared" si="10"/>
        <v>3785.6666666666665</v>
      </c>
      <c r="N35">
        <f t="shared" si="9"/>
        <v>3733.7445501183047</v>
      </c>
      <c r="O35">
        <f t="shared" si="0"/>
        <v>322</v>
      </c>
      <c r="P35" s="6">
        <f t="shared" si="1"/>
        <v>8.1829733163913593E-2</v>
      </c>
      <c r="Q35" s="6">
        <f t="shared" si="2"/>
        <v>5.1144968203734514E-2</v>
      </c>
      <c r="T35" s="11" t="str">
        <f>C794</f>
        <v>Comfort 200ml</v>
      </c>
      <c r="U35" s="11">
        <f>AVERAGEIFS($H$2:$H$1081,$C$2:$C$1081,$T35,$D$2:$D$1081,$AA35,$F$2:$F$1081,2024,$E$2:$E$1081,"&gt;=10")</f>
        <v>1716.3333333333333</v>
      </c>
      <c r="V35" s="11">
        <f t="shared" si="4"/>
        <v>1792.1111111111111</v>
      </c>
      <c r="W35" s="11">
        <f t="shared" si="5"/>
        <v>1768.148148148148</v>
      </c>
      <c r="X35" s="11">
        <f t="shared" si="6"/>
        <v>1758.864197530864</v>
      </c>
      <c r="Y35" s="11">
        <f t="shared" si="7"/>
        <v>1773.0411522633742</v>
      </c>
      <c r="Z35" s="11">
        <f t="shared" si="8"/>
        <v>1766.6844993141287</v>
      </c>
      <c r="AA35" t="s">
        <v>74</v>
      </c>
      <c r="AB35" s="11">
        <f>Table1[[#This Row],[01-01-2025]]+Table1[[#This Row],[01-02-2025]]+Table1[[#This Row],[01-03-2025]]+Table1[[#This Row],[01-04-2025]]+Table1[[#This Row],[01-05-2025]]+Table1[[#This Row],[01-06-2025]]</f>
        <v>10575.182441700959</v>
      </c>
    </row>
    <row r="36" spans="1:28" x14ac:dyDescent="0.25">
      <c r="A36" s="2">
        <v>35</v>
      </c>
      <c r="B36" s="2" t="s">
        <v>12</v>
      </c>
      <c r="C36" s="2" t="s">
        <v>13</v>
      </c>
      <c r="D36" s="2" t="s">
        <v>102</v>
      </c>
      <c r="E36" s="2">
        <v>11</v>
      </c>
      <c r="F36" s="2">
        <v>2023</v>
      </c>
      <c r="G36" s="8" t="s">
        <v>88</v>
      </c>
      <c r="H36" s="2">
        <v>4849</v>
      </c>
      <c r="I36" s="2">
        <v>4512</v>
      </c>
      <c r="J36" s="2">
        <v>337</v>
      </c>
      <c r="K36" s="2">
        <v>6.9</v>
      </c>
      <c r="L36" s="2" t="s">
        <v>78</v>
      </c>
      <c r="M36">
        <f t="shared" si="10"/>
        <v>3736.6666666666665</v>
      </c>
      <c r="N36">
        <f t="shared" si="9"/>
        <v>3794.1211850828131</v>
      </c>
      <c r="O36">
        <f t="shared" si="0"/>
        <v>337</v>
      </c>
      <c r="P36" s="6">
        <f t="shared" si="1"/>
        <v>6.9498865745514546E-2</v>
      </c>
      <c r="Q36" s="6">
        <f t="shared" si="2"/>
        <v>0.21754564135227611</v>
      </c>
      <c r="T36" s="11" t="str">
        <f>C794</f>
        <v>Comfort 200ml</v>
      </c>
      <c r="U36" s="11">
        <f t="shared" si="3"/>
        <v>1428.3333333333333</v>
      </c>
      <c r="V36" s="11">
        <f t="shared" si="4"/>
        <v>1463.1111111111111</v>
      </c>
      <c r="W36" s="11">
        <f t="shared" si="5"/>
        <v>1463.8148148148148</v>
      </c>
      <c r="X36" s="11">
        <f t="shared" si="6"/>
        <v>1451.7530864197531</v>
      </c>
      <c r="Y36" s="11">
        <f t="shared" si="7"/>
        <v>1459.5596707818931</v>
      </c>
      <c r="Z36" s="11">
        <f t="shared" si="8"/>
        <v>1458.3758573388204</v>
      </c>
      <c r="AA36" t="s">
        <v>102</v>
      </c>
      <c r="AB36" s="11">
        <f>Table1[[#This Row],[01-01-2025]]+Table1[[#This Row],[01-02-2025]]+Table1[[#This Row],[01-03-2025]]+Table1[[#This Row],[01-04-2025]]+Table1[[#This Row],[01-05-2025]]+Table1[[#This Row],[01-06-2025]]</f>
        <v>8724.9478737997269</v>
      </c>
    </row>
    <row r="37" spans="1:28" x14ac:dyDescent="0.25">
      <c r="G37"/>
      <c r="P37"/>
      <c r="Q37"/>
      <c r="T37" s="11" t="str">
        <f>C794</f>
        <v>Comfort 200ml</v>
      </c>
      <c r="U37" s="11">
        <f t="shared" si="3"/>
        <v>1754.3333333333333</v>
      </c>
      <c r="V37" s="11">
        <f t="shared" si="4"/>
        <v>1758.1111111111111</v>
      </c>
      <c r="W37" s="11">
        <f t="shared" si="5"/>
        <v>1768.148148148148</v>
      </c>
      <c r="X37" s="11">
        <f t="shared" si="6"/>
        <v>1760.1975308641975</v>
      </c>
      <c r="Y37" s="11">
        <f t="shared" si="7"/>
        <v>1762.1522633744855</v>
      </c>
      <c r="Z37" s="11">
        <f t="shared" si="8"/>
        <v>1763.4993141289435</v>
      </c>
      <c r="AA37" t="s">
        <v>103</v>
      </c>
      <c r="AB37" s="11">
        <f>Table1[[#This Row],[01-01-2025]]+Table1[[#This Row],[01-02-2025]]+Table1[[#This Row],[01-03-2025]]+Table1[[#This Row],[01-04-2025]]+Table1[[#This Row],[01-05-2025]]+Table1[[#This Row],[01-06-2025]]</f>
        <v>10566.441700960218</v>
      </c>
    </row>
    <row r="38" spans="1:28" x14ac:dyDescent="0.25">
      <c r="A38" s="2">
        <v>37</v>
      </c>
      <c r="B38" s="2" t="s">
        <v>12</v>
      </c>
      <c r="C38" s="2" t="s">
        <v>13</v>
      </c>
      <c r="D38" s="2" t="s">
        <v>102</v>
      </c>
      <c r="E38" s="2">
        <v>1</v>
      </c>
      <c r="F38" s="2">
        <v>2024</v>
      </c>
      <c r="G38" s="8" t="s">
        <v>90</v>
      </c>
      <c r="H38" s="2">
        <v>2950</v>
      </c>
      <c r="I38" s="2">
        <v>3006</v>
      </c>
      <c r="J38" s="2">
        <v>-56</v>
      </c>
      <c r="K38" s="2">
        <v>1.9</v>
      </c>
      <c r="L38" s="2" t="s">
        <v>76</v>
      </c>
      <c r="M38">
        <f t="shared" si="10"/>
        <v>4392</v>
      </c>
      <c r="N38">
        <f t="shared" si="9"/>
        <v>0</v>
      </c>
      <c r="O38">
        <f t="shared" si="0"/>
        <v>56</v>
      </c>
      <c r="P38" s="6">
        <f t="shared" si="1"/>
        <v>1.8983050847457626E-2</v>
      </c>
      <c r="Q38" s="6">
        <f>ABS((H38-N38))/H38</f>
        <v>1</v>
      </c>
      <c r="T38" s="11" t="str">
        <f>C913</f>
        <v>Pepsodent 150g</v>
      </c>
      <c r="U38" s="11">
        <f t="shared" si="3"/>
        <v>4646.333333333333</v>
      </c>
      <c r="V38" s="11">
        <f t="shared" si="4"/>
        <v>4784.4444444444443</v>
      </c>
      <c r="W38" s="11">
        <f t="shared" si="5"/>
        <v>4795.5925925925922</v>
      </c>
      <c r="X38" s="11">
        <f t="shared" si="6"/>
        <v>4742.1234567901229</v>
      </c>
      <c r="Y38" s="11">
        <f t="shared" si="7"/>
        <v>4774.0534979423865</v>
      </c>
      <c r="Z38" s="11">
        <f t="shared" si="8"/>
        <v>4770.5898491083672</v>
      </c>
      <c r="AA38" t="s">
        <v>74</v>
      </c>
      <c r="AB38" s="11">
        <f>Table1[[#This Row],[01-01-2025]]+Table1[[#This Row],[01-02-2025]]+Table1[[#This Row],[01-03-2025]]+Table1[[#This Row],[01-04-2025]]+Table1[[#This Row],[01-05-2025]]+Table1[[#This Row],[01-06-2025]]</f>
        <v>28513.137174211246</v>
      </c>
    </row>
    <row r="39" spans="1:28" x14ac:dyDescent="0.25">
      <c r="A39" s="3">
        <v>38</v>
      </c>
      <c r="B39" s="3" t="s">
        <v>12</v>
      </c>
      <c r="C39" s="3" t="s">
        <v>13</v>
      </c>
      <c r="D39" s="3" t="s">
        <v>102</v>
      </c>
      <c r="E39" s="3">
        <v>2</v>
      </c>
      <c r="F39" s="3">
        <v>2024</v>
      </c>
      <c r="G39" s="9" t="s">
        <v>91</v>
      </c>
      <c r="H39" s="3">
        <v>2947</v>
      </c>
      <c r="I39" s="3">
        <v>3224</v>
      </c>
      <c r="J39" s="3">
        <v>-277</v>
      </c>
      <c r="K39" s="3">
        <v>9.4</v>
      </c>
      <c r="L39" s="3" t="s">
        <v>78</v>
      </c>
      <c r="M39">
        <f t="shared" si="10"/>
        <v>3899.5</v>
      </c>
      <c r="N39">
        <f t="shared" si="9"/>
        <v>885</v>
      </c>
      <c r="O39">
        <f t="shared" si="0"/>
        <v>277</v>
      </c>
      <c r="P39" s="6">
        <f t="shared" si="1"/>
        <v>9.3993892093654566E-2</v>
      </c>
      <c r="Q39" s="6">
        <f t="shared" si="2"/>
        <v>0.69969460468272815</v>
      </c>
      <c r="T39" s="11" t="str">
        <f>C913</f>
        <v>Pepsodent 150g</v>
      </c>
      <c r="U39" s="11">
        <f t="shared" si="3"/>
        <v>4191</v>
      </c>
      <c r="V39" s="11">
        <f t="shared" si="4"/>
        <v>4409.666666666667</v>
      </c>
      <c r="W39" s="11">
        <f t="shared" si="5"/>
        <v>4485.5555555555557</v>
      </c>
      <c r="X39" s="11">
        <f t="shared" si="6"/>
        <v>4362.0740740740739</v>
      </c>
      <c r="Y39" s="11">
        <f t="shared" si="7"/>
        <v>4419.0987654320988</v>
      </c>
      <c r="Z39" s="11">
        <f t="shared" si="8"/>
        <v>4422.2427983539092</v>
      </c>
      <c r="AA39" t="s">
        <v>102</v>
      </c>
      <c r="AB39" s="11">
        <f>Table1[[#This Row],[01-01-2025]]+Table1[[#This Row],[01-02-2025]]+Table1[[#This Row],[01-03-2025]]+Table1[[#This Row],[01-04-2025]]+Table1[[#This Row],[01-05-2025]]+Table1[[#This Row],[01-06-2025]]</f>
        <v>26289.637860082305</v>
      </c>
    </row>
    <row r="40" spans="1:28" x14ac:dyDescent="0.25">
      <c r="A40" s="2">
        <v>39</v>
      </c>
      <c r="B40" s="2" t="s">
        <v>12</v>
      </c>
      <c r="C40" s="2" t="s">
        <v>13</v>
      </c>
      <c r="D40" s="2" t="s">
        <v>102</v>
      </c>
      <c r="E40" s="2">
        <v>3</v>
      </c>
      <c r="F40" s="2">
        <v>2024</v>
      </c>
      <c r="G40" s="8" t="s">
        <v>92</v>
      </c>
      <c r="H40" s="2">
        <v>3538</v>
      </c>
      <c r="I40" s="2">
        <v>3265</v>
      </c>
      <c r="J40" s="2">
        <v>273</v>
      </c>
      <c r="K40" s="2">
        <v>7.7</v>
      </c>
      <c r="L40" s="2" t="s">
        <v>83</v>
      </c>
      <c r="M40">
        <f t="shared" si="10"/>
        <v>2948.5</v>
      </c>
      <c r="N40">
        <f t="shared" si="9"/>
        <v>1503.6</v>
      </c>
      <c r="O40">
        <f t="shared" si="0"/>
        <v>273</v>
      </c>
      <c r="P40" s="6">
        <f t="shared" si="1"/>
        <v>7.7162238552854714E-2</v>
      </c>
      <c r="Q40" s="6">
        <f t="shared" si="2"/>
        <v>0.57501413227812326</v>
      </c>
      <c r="T40" s="11" t="str">
        <f>C913</f>
        <v>Pepsodent 150g</v>
      </c>
      <c r="U40" s="11">
        <f t="shared" si="3"/>
        <v>4655</v>
      </c>
      <c r="V40" s="11">
        <f t="shared" si="4"/>
        <v>4765.333333333333</v>
      </c>
      <c r="W40" s="11">
        <f t="shared" si="5"/>
        <v>4807.1111111111104</v>
      </c>
      <c r="X40" s="11">
        <f t="shared" si="6"/>
        <v>4742.4814814814808</v>
      </c>
      <c r="Y40" s="11">
        <f t="shared" si="7"/>
        <v>4771.6419753086411</v>
      </c>
      <c r="Z40" s="11">
        <f t="shared" si="8"/>
        <v>4773.7448559670775</v>
      </c>
      <c r="AA40" t="s">
        <v>103</v>
      </c>
      <c r="AB40" s="11">
        <f>Table1[[#This Row],[01-01-2025]]+Table1[[#This Row],[01-02-2025]]+Table1[[#This Row],[01-03-2025]]+Table1[[#This Row],[01-04-2025]]+Table1[[#This Row],[01-05-2025]]+Table1[[#This Row],[01-06-2025]]</f>
        <v>28515.312757201642</v>
      </c>
    </row>
    <row r="41" spans="1:28" x14ac:dyDescent="0.25">
      <c r="A41" s="3">
        <v>40</v>
      </c>
      <c r="B41" s="3" t="s">
        <v>12</v>
      </c>
      <c r="C41" s="3" t="s">
        <v>13</v>
      </c>
      <c r="D41" s="3" t="s">
        <v>102</v>
      </c>
      <c r="E41" s="3">
        <v>4</v>
      </c>
      <c r="F41" s="3">
        <v>2024</v>
      </c>
      <c r="G41" s="9" t="s">
        <v>93</v>
      </c>
      <c r="H41" s="3">
        <v>3784</v>
      </c>
      <c r="I41" s="3">
        <v>3987</v>
      </c>
      <c r="J41" s="3">
        <v>-203</v>
      </c>
      <c r="K41" s="3">
        <v>5.4</v>
      </c>
      <c r="L41" s="3" t="s">
        <v>76</v>
      </c>
      <c r="M41">
        <f t="shared" si="10"/>
        <v>3145</v>
      </c>
      <c r="N41">
        <f t="shared" si="9"/>
        <v>2113.92</v>
      </c>
      <c r="O41">
        <f t="shared" si="0"/>
        <v>203</v>
      </c>
      <c r="P41" s="6">
        <f t="shared" si="1"/>
        <v>5.3646934460887946E-2</v>
      </c>
      <c r="Q41" s="6">
        <f t="shared" si="2"/>
        <v>0.44135306553911202</v>
      </c>
      <c r="T41" s="11" t="str">
        <f>C938</f>
        <v>Close Up 80g</v>
      </c>
      <c r="U41" s="11">
        <f t="shared" si="3"/>
        <v>4873</v>
      </c>
      <c r="V41" s="11">
        <f t="shared" si="4"/>
        <v>4954.666666666667</v>
      </c>
      <c r="W41" s="11">
        <f t="shared" si="5"/>
        <v>5125.5555555555557</v>
      </c>
      <c r="X41" s="11">
        <f t="shared" si="6"/>
        <v>4984.4074074074078</v>
      </c>
      <c r="Y41" s="11">
        <f t="shared" si="7"/>
        <v>5021.5432098765441</v>
      </c>
      <c r="Z41" s="11">
        <f t="shared" si="8"/>
        <v>5043.8353909465031</v>
      </c>
      <c r="AA41" t="s">
        <v>74</v>
      </c>
      <c r="AB41" s="11">
        <f>Table1[[#This Row],[01-01-2025]]+Table1[[#This Row],[01-02-2025]]+Table1[[#This Row],[01-03-2025]]+Table1[[#This Row],[01-04-2025]]+Table1[[#This Row],[01-05-2025]]+Table1[[#This Row],[01-06-2025]]</f>
        <v>30003.00823045268</v>
      </c>
    </row>
    <row r="42" spans="1:28" x14ac:dyDescent="0.25">
      <c r="A42" s="2">
        <v>41</v>
      </c>
      <c r="B42" s="2" t="s">
        <v>12</v>
      </c>
      <c r="C42" s="2" t="s">
        <v>13</v>
      </c>
      <c r="D42" s="2" t="s">
        <v>102</v>
      </c>
      <c r="E42" s="2">
        <v>5</v>
      </c>
      <c r="F42" s="2">
        <v>2024</v>
      </c>
      <c r="G42" s="8" t="s">
        <v>94</v>
      </c>
      <c r="H42" s="2">
        <v>3399</v>
      </c>
      <c r="I42" s="2">
        <v>3354</v>
      </c>
      <c r="J42" s="2">
        <v>45</v>
      </c>
      <c r="K42" s="2">
        <v>1.3</v>
      </c>
      <c r="L42" s="2" t="s">
        <v>76</v>
      </c>
      <c r="M42">
        <f t="shared" si="10"/>
        <v>3423</v>
      </c>
      <c r="N42">
        <f t="shared" si="9"/>
        <v>2614.944</v>
      </c>
      <c r="O42">
        <f t="shared" si="0"/>
        <v>45</v>
      </c>
      <c r="P42" s="6">
        <f t="shared" si="1"/>
        <v>1.323918799646955E-2</v>
      </c>
      <c r="Q42" s="6">
        <f t="shared" si="2"/>
        <v>0.23067255075022067</v>
      </c>
      <c r="T42" s="11" t="str">
        <f>C938</f>
        <v>Close Up 80g</v>
      </c>
      <c r="U42" s="11">
        <f t="shared" si="3"/>
        <v>3960.6666666666665</v>
      </c>
      <c r="V42" s="11">
        <f t="shared" si="4"/>
        <v>4031.5555555555552</v>
      </c>
      <c r="W42" s="11">
        <f t="shared" si="5"/>
        <v>4131.4074074074069</v>
      </c>
      <c r="X42" s="11">
        <f t="shared" si="6"/>
        <v>4041.2098765432092</v>
      </c>
      <c r="Y42" s="11">
        <f t="shared" si="7"/>
        <v>4068.0576131687235</v>
      </c>
      <c r="Z42" s="11">
        <f t="shared" si="8"/>
        <v>4080.2249657064463</v>
      </c>
      <c r="AA42" t="s">
        <v>102</v>
      </c>
      <c r="AB42" s="11">
        <f>Table1[[#This Row],[01-01-2025]]+Table1[[#This Row],[01-02-2025]]+Table1[[#This Row],[01-03-2025]]+Table1[[#This Row],[01-04-2025]]+Table1[[#This Row],[01-05-2025]]+Table1[[#This Row],[01-06-2025]]</f>
        <v>24313.122085048006</v>
      </c>
    </row>
    <row r="43" spans="1:28" x14ac:dyDescent="0.25">
      <c r="A43" s="3">
        <v>42</v>
      </c>
      <c r="B43" s="3" t="s">
        <v>12</v>
      </c>
      <c r="C43" s="3" t="s">
        <v>13</v>
      </c>
      <c r="D43" s="3" t="s">
        <v>102</v>
      </c>
      <c r="E43" s="3">
        <v>6</v>
      </c>
      <c r="F43" s="3">
        <v>2024</v>
      </c>
      <c r="G43" s="9" t="s">
        <v>95</v>
      </c>
      <c r="H43" s="3">
        <v>3458</v>
      </c>
      <c r="I43" s="3">
        <v>3611</v>
      </c>
      <c r="J43" s="3">
        <v>-153</v>
      </c>
      <c r="K43" s="3">
        <v>4.4000000000000004</v>
      </c>
      <c r="L43" s="3" t="s">
        <v>83</v>
      </c>
      <c r="M43">
        <f t="shared" si="10"/>
        <v>3573.6666666666665</v>
      </c>
      <c r="N43">
        <f t="shared" si="9"/>
        <v>2850.1607999999997</v>
      </c>
      <c r="O43">
        <f t="shared" si="0"/>
        <v>153</v>
      </c>
      <c r="P43" s="6">
        <f t="shared" si="1"/>
        <v>4.4245228455754772E-2</v>
      </c>
      <c r="Q43" s="6">
        <f t="shared" si="2"/>
        <v>0.17577767495662242</v>
      </c>
      <c r="T43" s="11" t="str">
        <f>C938</f>
        <v>Close Up 80g</v>
      </c>
      <c r="U43" s="11">
        <f t="shared" si="3"/>
        <v>4606.666666666667</v>
      </c>
      <c r="V43" s="11">
        <f t="shared" si="4"/>
        <v>4698.2222222222226</v>
      </c>
      <c r="W43" s="11">
        <f t="shared" si="5"/>
        <v>4881.6296296296305</v>
      </c>
      <c r="X43" s="11">
        <f t="shared" si="6"/>
        <v>4728.8395061728406</v>
      </c>
      <c r="Y43" s="11">
        <f t="shared" si="7"/>
        <v>4769.5637860082315</v>
      </c>
      <c r="Z43" s="11">
        <f t="shared" si="8"/>
        <v>4793.3443072702348</v>
      </c>
      <c r="AA43" t="s">
        <v>103</v>
      </c>
      <c r="AB43" s="11">
        <f>Table1[[#This Row],[01-01-2025]]+Table1[[#This Row],[01-02-2025]]+Table1[[#This Row],[01-03-2025]]+Table1[[#This Row],[01-04-2025]]+Table1[[#This Row],[01-05-2025]]+Table1[[#This Row],[01-06-2025]]</f>
        <v>28478.26611796983</v>
      </c>
    </row>
    <row r="44" spans="1:28" x14ac:dyDescent="0.25">
      <c r="A44" s="2">
        <v>43</v>
      </c>
      <c r="B44" s="2" t="s">
        <v>12</v>
      </c>
      <c r="C44" s="2" t="s">
        <v>13</v>
      </c>
      <c r="D44" s="2" t="s">
        <v>102</v>
      </c>
      <c r="E44" s="2">
        <v>7</v>
      </c>
      <c r="F44" s="2">
        <v>2024</v>
      </c>
      <c r="G44" s="8" t="s">
        <v>96</v>
      </c>
      <c r="H44" s="2">
        <v>3636</v>
      </c>
      <c r="I44" s="2">
        <v>3636</v>
      </c>
      <c r="J44" s="2">
        <v>0</v>
      </c>
      <c r="K44" s="2">
        <v>0</v>
      </c>
      <c r="L44" s="2" t="s">
        <v>78</v>
      </c>
      <c r="M44">
        <f t="shared" si="10"/>
        <v>3547</v>
      </c>
      <c r="N44">
        <f t="shared" si="9"/>
        <v>3032.5125599999992</v>
      </c>
      <c r="O44">
        <f t="shared" si="0"/>
        <v>0</v>
      </c>
      <c r="P44" s="6">
        <f t="shared" si="1"/>
        <v>0</v>
      </c>
      <c r="Q44" s="6">
        <f t="shared" si="2"/>
        <v>0.16597564356435665</v>
      </c>
      <c r="T44" s="11" t="str">
        <f>C1010</f>
        <v>Kissan Ketchup 500g</v>
      </c>
      <c r="U44" s="11">
        <f t="shared" si="3"/>
        <v>972.66666666666663</v>
      </c>
      <c r="V44" s="11">
        <f t="shared" si="4"/>
        <v>980.8888888888888</v>
      </c>
      <c r="W44" s="11">
        <f t="shared" si="5"/>
        <v>974.51851851851836</v>
      </c>
      <c r="X44" s="11">
        <f t="shared" si="6"/>
        <v>976.0246913580246</v>
      </c>
      <c r="Y44" s="11">
        <f t="shared" si="7"/>
        <v>977.14403292181066</v>
      </c>
      <c r="Z44" s="11">
        <f t="shared" si="8"/>
        <v>975.89574759945117</v>
      </c>
      <c r="AA44" t="s">
        <v>74</v>
      </c>
      <c r="AB44" s="11">
        <f>Table1[[#This Row],[01-01-2025]]+Table1[[#This Row],[01-02-2025]]+Table1[[#This Row],[01-03-2025]]+Table1[[#This Row],[01-04-2025]]+Table1[[#This Row],[01-05-2025]]+Table1[[#This Row],[01-06-2025]]</f>
        <v>5857.1385459533603</v>
      </c>
    </row>
    <row r="45" spans="1:28" x14ac:dyDescent="0.25">
      <c r="A45" s="3">
        <v>44</v>
      </c>
      <c r="B45" s="3" t="s">
        <v>12</v>
      </c>
      <c r="C45" s="3" t="s">
        <v>13</v>
      </c>
      <c r="D45" s="3" t="s">
        <v>102</v>
      </c>
      <c r="E45" s="3">
        <v>8</v>
      </c>
      <c r="F45" s="3">
        <v>2024</v>
      </c>
      <c r="G45" s="9" t="s">
        <v>97</v>
      </c>
      <c r="H45" s="3">
        <v>3755</v>
      </c>
      <c r="I45" s="3">
        <v>3459</v>
      </c>
      <c r="J45" s="3">
        <v>296</v>
      </c>
      <c r="K45" s="3">
        <v>7.9</v>
      </c>
      <c r="L45" s="3" t="s">
        <v>83</v>
      </c>
      <c r="M45">
        <f t="shared" si="10"/>
        <v>3497.6666666666665</v>
      </c>
      <c r="N45">
        <f t="shared" si="9"/>
        <v>3213.5587919999989</v>
      </c>
      <c r="O45">
        <f t="shared" si="0"/>
        <v>296</v>
      </c>
      <c r="P45" s="6">
        <f t="shared" si="1"/>
        <v>7.8828229027962715E-2</v>
      </c>
      <c r="Q45" s="6">
        <f t="shared" si="2"/>
        <v>0.14419206604527326</v>
      </c>
      <c r="T45" s="11" t="str">
        <f>C1010</f>
        <v>Kissan Ketchup 500g</v>
      </c>
      <c r="U45" s="11">
        <f t="shared" si="3"/>
        <v>810</v>
      </c>
      <c r="V45" s="11">
        <f t="shared" si="4"/>
        <v>818.66666666666663</v>
      </c>
      <c r="W45" s="11">
        <f t="shared" si="5"/>
        <v>811.55555555555554</v>
      </c>
      <c r="X45" s="11">
        <f t="shared" si="6"/>
        <v>813.40740740740739</v>
      </c>
      <c r="Y45" s="11">
        <f t="shared" si="7"/>
        <v>814.54320987654319</v>
      </c>
      <c r="Z45" s="11">
        <f t="shared" si="8"/>
        <v>813.16872427983537</v>
      </c>
      <c r="AA45" t="s">
        <v>102</v>
      </c>
      <c r="AB45" s="11">
        <f>Table1[[#This Row],[01-01-2025]]+Table1[[#This Row],[01-02-2025]]+Table1[[#This Row],[01-03-2025]]+Table1[[#This Row],[01-04-2025]]+Table1[[#This Row],[01-05-2025]]+Table1[[#This Row],[01-06-2025]]</f>
        <v>4881.341563786008</v>
      </c>
    </row>
    <row r="46" spans="1:28" x14ac:dyDescent="0.25">
      <c r="A46" s="2">
        <v>45</v>
      </c>
      <c r="B46" s="2" t="s">
        <v>12</v>
      </c>
      <c r="C46" s="2" t="s">
        <v>13</v>
      </c>
      <c r="D46" s="2" t="s">
        <v>102</v>
      </c>
      <c r="E46" s="2">
        <v>9</v>
      </c>
      <c r="F46" s="2">
        <v>2024</v>
      </c>
      <c r="G46" s="8" t="s">
        <v>98</v>
      </c>
      <c r="H46" s="2">
        <v>3397</v>
      </c>
      <c r="I46" s="2">
        <v>3491</v>
      </c>
      <c r="J46" s="2">
        <v>-94</v>
      </c>
      <c r="K46" s="2">
        <v>2.8</v>
      </c>
      <c r="L46" s="2" t="s">
        <v>83</v>
      </c>
      <c r="M46">
        <f t="shared" si="10"/>
        <v>3616.3333333333335</v>
      </c>
      <c r="N46">
        <f t="shared" si="9"/>
        <v>3375.9911543999992</v>
      </c>
      <c r="O46">
        <f t="shared" si="0"/>
        <v>94</v>
      </c>
      <c r="P46" s="6">
        <f t="shared" si="1"/>
        <v>2.7671474830733001E-2</v>
      </c>
      <c r="Q46" s="6">
        <f t="shared" si="2"/>
        <v>6.1845291727997548E-3</v>
      </c>
      <c r="T46" s="11" t="str">
        <f>C1010</f>
        <v>Kissan Ketchup 500g</v>
      </c>
      <c r="U46" s="11">
        <f t="shared" si="3"/>
        <v>865.33333333333337</v>
      </c>
      <c r="V46" s="11">
        <f t="shared" si="4"/>
        <v>880.1111111111112</v>
      </c>
      <c r="W46" s="11">
        <f t="shared" si="5"/>
        <v>874.14814814814827</v>
      </c>
      <c r="X46" s="11">
        <f t="shared" si="6"/>
        <v>873.19753086419769</v>
      </c>
      <c r="Y46" s="11">
        <f t="shared" si="7"/>
        <v>875.81893004115238</v>
      </c>
      <c r="Z46" s="11">
        <f t="shared" si="8"/>
        <v>874.38820301783278</v>
      </c>
      <c r="AA46" t="s">
        <v>103</v>
      </c>
      <c r="AB46" s="11">
        <f>Table1[[#This Row],[01-01-2025]]+Table1[[#This Row],[01-02-2025]]+Table1[[#This Row],[01-03-2025]]+Table1[[#This Row],[01-04-2025]]+Table1[[#This Row],[01-05-2025]]+Table1[[#This Row],[01-06-2025]]</f>
        <v>5242.9972565157759</v>
      </c>
    </row>
    <row r="47" spans="1:28" x14ac:dyDescent="0.25">
      <c r="A47" s="3">
        <v>46</v>
      </c>
      <c r="B47" s="3" t="s">
        <v>12</v>
      </c>
      <c r="C47" s="3" t="s">
        <v>13</v>
      </c>
      <c r="D47" s="3" t="s">
        <v>102</v>
      </c>
      <c r="E47" s="3">
        <v>10</v>
      </c>
      <c r="F47" s="3">
        <v>2024</v>
      </c>
      <c r="G47" s="9" t="s">
        <v>99</v>
      </c>
      <c r="H47" s="3">
        <v>3643</v>
      </c>
      <c r="I47" s="3">
        <v>3551</v>
      </c>
      <c r="J47" s="3">
        <v>92</v>
      </c>
      <c r="K47" s="3">
        <v>2.5</v>
      </c>
      <c r="L47" s="3" t="s">
        <v>78</v>
      </c>
      <c r="M47">
        <f t="shared" si="10"/>
        <v>3596</v>
      </c>
      <c r="N47">
        <f t="shared" si="9"/>
        <v>3382.2938080799991</v>
      </c>
      <c r="O47">
        <f t="shared" si="0"/>
        <v>92</v>
      </c>
      <c r="P47" s="6">
        <f t="shared" si="1"/>
        <v>2.5253911611309361E-2</v>
      </c>
      <c r="Q47" s="6">
        <f t="shared" si="2"/>
        <v>7.1563599209443024E-2</v>
      </c>
    </row>
    <row r="48" spans="1:28" x14ac:dyDescent="0.25">
      <c r="A48" s="2">
        <v>47</v>
      </c>
      <c r="B48" s="2" t="s">
        <v>12</v>
      </c>
      <c r="C48" s="2" t="s">
        <v>13</v>
      </c>
      <c r="D48" s="2" t="s">
        <v>102</v>
      </c>
      <c r="E48" s="2">
        <v>11</v>
      </c>
      <c r="F48" s="2">
        <v>2024</v>
      </c>
      <c r="G48" s="8" t="s">
        <v>100</v>
      </c>
      <c r="H48" s="2">
        <v>4504</v>
      </c>
      <c r="I48" s="2">
        <v>4754</v>
      </c>
      <c r="J48" s="2">
        <v>-250</v>
      </c>
      <c r="K48" s="2">
        <v>5.6</v>
      </c>
      <c r="L48" s="2" t="s">
        <v>83</v>
      </c>
      <c r="M48">
        <f t="shared" si="10"/>
        <v>3598.3333333333335</v>
      </c>
      <c r="N48">
        <f t="shared" si="9"/>
        <v>3460.5056656559991</v>
      </c>
      <c r="O48">
        <f t="shared" si="0"/>
        <v>250</v>
      </c>
      <c r="P48" s="6">
        <f t="shared" si="1"/>
        <v>5.5506216696269983E-2</v>
      </c>
      <c r="Q48" s="6">
        <f t="shared" si="2"/>
        <v>0.23168169057371246</v>
      </c>
    </row>
    <row r="49" spans="1:17" x14ac:dyDescent="0.25">
      <c r="A49" s="3">
        <v>48</v>
      </c>
      <c r="B49" s="3" t="s">
        <v>12</v>
      </c>
      <c r="C49" s="3" t="s">
        <v>13</v>
      </c>
      <c r="D49" s="3" t="s">
        <v>102</v>
      </c>
      <c r="E49" s="3">
        <v>12</v>
      </c>
      <c r="F49" s="3">
        <v>2024</v>
      </c>
      <c r="G49" s="9" t="s">
        <v>101</v>
      </c>
      <c r="H49" s="3">
        <v>5107</v>
      </c>
      <c r="I49" s="3">
        <v>5208</v>
      </c>
      <c r="J49" s="3">
        <v>-101</v>
      </c>
      <c r="K49" s="3">
        <v>2</v>
      </c>
      <c r="L49" s="3" t="s">
        <v>76</v>
      </c>
      <c r="M49">
        <f t="shared" si="10"/>
        <v>3848</v>
      </c>
      <c r="N49">
        <f t="shared" si="9"/>
        <v>3773.5539659591996</v>
      </c>
      <c r="O49">
        <f t="shared" si="0"/>
        <v>101</v>
      </c>
      <c r="P49" s="6">
        <f t="shared" si="1"/>
        <v>1.9776776972782455E-2</v>
      </c>
      <c r="Q49" s="6">
        <f t="shared" si="2"/>
        <v>0.26110163188580388</v>
      </c>
    </row>
    <row r="50" spans="1:17" x14ac:dyDescent="0.25">
      <c r="A50" s="2">
        <v>49</v>
      </c>
      <c r="B50" s="2" t="s">
        <v>12</v>
      </c>
      <c r="C50" s="2" t="s">
        <v>13</v>
      </c>
      <c r="D50" s="2" t="s">
        <v>103</v>
      </c>
      <c r="E50" s="2">
        <v>1</v>
      </c>
      <c r="F50" s="2">
        <v>2023</v>
      </c>
      <c r="G50" s="8" t="s">
        <v>75</v>
      </c>
      <c r="H50" s="2">
        <v>3000</v>
      </c>
      <c r="I50" s="2">
        <v>3257</v>
      </c>
      <c r="J50" s="2">
        <v>-257</v>
      </c>
      <c r="K50" s="2">
        <v>8.6</v>
      </c>
      <c r="L50" s="2" t="s">
        <v>76</v>
      </c>
      <c r="M50">
        <f t="shared" si="10"/>
        <v>4418</v>
      </c>
      <c r="N50">
        <f t="shared" si="9"/>
        <v>4173.5877761714401</v>
      </c>
      <c r="O50">
        <f t="shared" si="0"/>
        <v>257</v>
      </c>
      <c r="P50" s="6">
        <f t="shared" si="1"/>
        <v>8.5666666666666669E-2</v>
      </c>
      <c r="Q50" s="6">
        <f t="shared" si="2"/>
        <v>0.39119592539048004</v>
      </c>
    </row>
    <row r="51" spans="1:17" x14ac:dyDescent="0.25">
      <c r="A51" s="3">
        <v>50</v>
      </c>
      <c r="B51" s="3" t="s">
        <v>12</v>
      </c>
      <c r="C51" s="3" t="s">
        <v>13</v>
      </c>
      <c r="D51" s="3" t="s">
        <v>103</v>
      </c>
      <c r="E51" s="3">
        <v>2</v>
      </c>
      <c r="F51" s="3">
        <v>2023</v>
      </c>
      <c r="G51" s="9" t="s">
        <v>77</v>
      </c>
      <c r="H51" s="3">
        <v>3067</v>
      </c>
      <c r="I51" s="3">
        <v>2908</v>
      </c>
      <c r="J51" s="3">
        <v>159</v>
      </c>
      <c r="K51" s="3">
        <v>5.2</v>
      </c>
      <c r="L51" s="3" t="s">
        <v>83</v>
      </c>
      <c r="M51">
        <f t="shared" si="10"/>
        <v>4203.666666666667</v>
      </c>
      <c r="N51">
        <f t="shared" si="9"/>
        <v>3821.5114433200079</v>
      </c>
      <c r="O51">
        <f t="shared" si="0"/>
        <v>159</v>
      </c>
      <c r="P51" s="6">
        <f t="shared" si="1"/>
        <v>5.184219106618846E-2</v>
      </c>
      <c r="Q51" s="6">
        <f t="shared" si="2"/>
        <v>0.24600960003912875</v>
      </c>
    </row>
    <row r="52" spans="1:17" x14ac:dyDescent="0.25">
      <c r="A52" s="2">
        <v>51</v>
      </c>
      <c r="B52" s="2" t="s">
        <v>12</v>
      </c>
      <c r="C52" s="2" t="s">
        <v>13</v>
      </c>
      <c r="D52" s="2" t="s">
        <v>103</v>
      </c>
      <c r="E52" s="2">
        <v>3</v>
      </c>
      <c r="F52" s="2">
        <v>2023</v>
      </c>
      <c r="G52" s="8" t="s">
        <v>79</v>
      </c>
      <c r="H52" s="2">
        <v>4197</v>
      </c>
      <c r="I52" s="2">
        <v>3849</v>
      </c>
      <c r="J52" s="2">
        <v>348</v>
      </c>
      <c r="K52" s="2">
        <v>8.3000000000000007</v>
      </c>
      <c r="L52" s="2" t="s">
        <v>76</v>
      </c>
      <c r="M52">
        <f t="shared" si="10"/>
        <v>3724.6666666666665</v>
      </c>
      <c r="N52">
        <f t="shared" si="9"/>
        <v>3595.1580103240053</v>
      </c>
      <c r="O52">
        <f t="shared" si="0"/>
        <v>348</v>
      </c>
      <c r="P52" s="6">
        <f t="shared" si="1"/>
        <v>8.2916368834882057E-2</v>
      </c>
      <c r="Q52" s="6">
        <f t="shared" si="2"/>
        <v>0.1433981390698105</v>
      </c>
    </row>
    <row r="53" spans="1:17" x14ac:dyDescent="0.25">
      <c r="A53" s="3">
        <v>52</v>
      </c>
      <c r="B53" s="3" t="s">
        <v>12</v>
      </c>
      <c r="C53" s="3" t="s">
        <v>13</v>
      </c>
      <c r="D53" s="3" t="s">
        <v>103</v>
      </c>
      <c r="E53" s="3">
        <v>4</v>
      </c>
      <c r="F53" s="3">
        <v>2023</v>
      </c>
      <c r="G53" s="9" t="s">
        <v>80</v>
      </c>
      <c r="H53" s="3">
        <v>4292</v>
      </c>
      <c r="I53" s="3">
        <v>4702</v>
      </c>
      <c r="J53" s="3">
        <v>-410</v>
      </c>
      <c r="K53" s="3">
        <v>9.6</v>
      </c>
      <c r="L53" s="3" t="s">
        <v>83</v>
      </c>
      <c r="M53">
        <f t="shared" si="10"/>
        <v>3421.3333333333335</v>
      </c>
      <c r="N53">
        <f t="shared" si="9"/>
        <v>3775.7106072268034</v>
      </c>
      <c r="O53">
        <f t="shared" si="0"/>
        <v>410</v>
      </c>
      <c r="P53" s="6">
        <f t="shared" si="1"/>
        <v>9.552656104380243E-2</v>
      </c>
      <c r="Q53" s="6">
        <f t="shared" si="2"/>
        <v>0.12029109803662549</v>
      </c>
    </row>
    <row r="54" spans="1:17" x14ac:dyDescent="0.25">
      <c r="A54" s="2">
        <v>53</v>
      </c>
      <c r="B54" s="2" t="s">
        <v>12</v>
      </c>
      <c r="C54" s="2" t="s">
        <v>13</v>
      </c>
      <c r="D54" s="2" t="s">
        <v>103</v>
      </c>
      <c r="E54" s="2">
        <v>5</v>
      </c>
      <c r="F54" s="2">
        <v>2023</v>
      </c>
      <c r="G54" s="8" t="s">
        <v>81</v>
      </c>
      <c r="H54" s="2">
        <v>4456</v>
      </c>
      <c r="I54" s="2">
        <v>4124</v>
      </c>
      <c r="J54" s="2">
        <v>332</v>
      </c>
      <c r="K54" s="2">
        <v>7.5</v>
      </c>
      <c r="L54" s="2" t="s">
        <v>76</v>
      </c>
      <c r="M54">
        <f t="shared" si="10"/>
        <v>3852</v>
      </c>
      <c r="N54">
        <f t="shared" si="9"/>
        <v>3930.5974250587619</v>
      </c>
      <c r="O54">
        <f t="shared" si="0"/>
        <v>332</v>
      </c>
      <c r="P54" s="6">
        <f t="shared" si="1"/>
        <v>7.4506283662477552E-2</v>
      </c>
      <c r="Q54" s="6">
        <f t="shared" si="2"/>
        <v>0.11790901592038557</v>
      </c>
    </row>
    <row r="55" spans="1:17" x14ac:dyDescent="0.25">
      <c r="A55" s="3">
        <v>54</v>
      </c>
      <c r="B55" s="3" t="s">
        <v>12</v>
      </c>
      <c r="C55" s="3" t="s">
        <v>13</v>
      </c>
      <c r="D55" s="3" t="s">
        <v>103</v>
      </c>
      <c r="E55" s="3">
        <v>6</v>
      </c>
      <c r="F55" s="3">
        <v>2023</v>
      </c>
      <c r="G55" s="9" t="s">
        <v>82</v>
      </c>
      <c r="H55" s="3">
        <v>4859</v>
      </c>
      <c r="I55" s="3">
        <v>4533</v>
      </c>
      <c r="J55" s="3">
        <v>326</v>
      </c>
      <c r="K55" s="3">
        <v>6.7</v>
      </c>
      <c r="L55" s="3" t="s">
        <v>83</v>
      </c>
      <c r="M55">
        <f t="shared" si="10"/>
        <v>4315</v>
      </c>
      <c r="N55">
        <f t="shared" si="9"/>
        <v>4088.2181975411331</v>
      </c>
      <c r="O55">
        <f t="shared" si="0"/>
        <v>326</v>
      </c>
      <c r="P55" s="6">
        <f t="shared" si="1"/>
        <v>6.7091994237497427E-2</v>
      </c>
      <c r="Q55" s="6">
        <f t="shared" si="2"/>
        <v>0.15862971855502508</v>
      </c>
    </row>
    <row r="56" spans="1:17" x14ac:dyDescent="0.25">
      <c r="A56" s="2">
        <v>55</v>
      </c>
      <c r="B56" s="2" t="s">
        <v>12</v>
      </c>
      <c r="C56" s="2" t="s">
        <v>13</v>
      </c>
      <c r="D56" s="2" t="s">
        <v>103</v>
      </c>
      <c r="E56" s="2">
        <v>7</v>
      </c>
      <c r="F56" s="2">
        <v>2023</v>
      </c>
      <c r="G56" s="8" t="s">
        <v>84</v>
      </c>
      <c r="H56" s="2">
        <v>4694</v>
      </c>
      <c r="I56" s="2">
        <v>4621</v>
      </c>
      <c r="J56" s="2">
        <v>73</v>
      </c>
      <c r="K56" s="2">
        <v>1.6</v>
      </c>
      <c r="L56" s="2" t="s">
        <v>78</v>
      </c>
      <c r="M56">
        <f t="shared" si="10"/>
        <v>4535.666666666667</v>
      </c>
      <c r="N56">
        <f t="shared" si="9"/>
        <v>4319.4527382787928</v>
      </c>
      <c r="O56">
        <f t="shared" si="0"/>
        <v>73</v>
      </c>
      <c r="P56" s="6">
        <f t="shared" si="1"/>
        <v>1.5551768214742225E-2</v>
      </c>
      <c r="Q56" s="6">
        <f t="shared" si="2"/>
        <v>7.9792769859652141E-2</v>
      </c>
    </row>
    <row r="57" spans="1:17" x14ac:dyDescent="0.25">
      <c r="A57" s="3">
        <v>56</v>
      </c>
      <c r="B57" s="3" t="s">
        <v>12</v>
      </c>
      <c r="C57" s="3" t="s">
        <v>13</v>
      </c>
      <c r="D57" s="3" t="s">
        <v>103</v>
      </c>
      <c r="E57" s="3">
        <v>8</v>
      </c>
      <c r="F57" s="3">
        <v>2023</v>
      </c>
      <c r="G57" s="9" t="s">
        <v>85</v>
      </c>
      <c r="H57" s="3">
        <v>4620</v>
      </c>
      <c r="I57" s="3">
        <v>4855</v>
      </c>
      <c r="J57" s="3">
        <v>-235</v>
      </c>
      <c r="K57" s="3">
        <v>5.0999999999999996</v>
      </c>
      <c r="L57" s="3" t="s">
        <v>83</v>
      </c>
      <c r="M57">
        <f t="shared" si="10"/>
        <v>4669.666666666667</v>
      </c>
      <c r="N57">
        <f t="shared" si="9"/>
        <v>4431.8169167951546</v>
      </c>
      <c r="O57">
        <f t="shared" si="0"/>
        <v>235</v>
      </c>
      <c r="P57" s="6">
        <f t="shared" si="1"/>
        <v>5.0865800865800864E-2</v>
      </c>
      <c r="Q57" s="6">
        <f t="shared" si="2"/>
        <v>4.0732269091957873E-2</v>
      </c>
    </row>
    <row r="58" spans="1:17" x14ac:dyDescent="0.25">
      <c r="A58" s="2">
        <v>57</v>
      </c>
      <c r="B58" s="2" t="s">
        <v>12</v>
      </c>
      <c r="C58" s="2" t="s">
        <v>13</v>
      </c>
      <c r="D58" s="2" t="s">
        <v>103</v>
      </c>
      <c r="E58" s="2">
        <v>9</v>
      </c>
      <c r="F58" s="2">
        <v>2023</v>
      </c>
      <c r="G58" s="8" t="s">
        <v>86</v>
      </c>
      <c r="H58" s="2">
        <v>3703</v>
      </c>
      <c r="I58" s="2">
        <v>3563</v>
      </c>
      <c r="J58" s="2">
        <v>140</v>
      </c>
      <c r="K58" s="2">
        <v>3.8</v>
      </c>
      <c r="L58" s="2" t="s">
        <v>83</v>
      </c>
      <c r="M58">
        <f t="shared" si="10"/>
        <v>4724.333333333333</v>
      </c>
      <c r="N58">
        <f t="shared" si="9"/>
        <v>4488.2718417566084</v>
      </c>
      <c r="O58">
        <f t="shared" si="0"/>
        <v>140</v>
      </c>
      <c r="P58" s="6">
        <f t="shared" si="1"/>
        <v>3.780718336483932E-2</v>
      </c>
      <c r="Q58" s="6">
        <f t="shared" si="2"/>
        <v>0.21206368937526557</v>
      </c>
    </row>
    <row r="59" spans="1:17" x14ac:dyDescent="0.25">
      <c r="A59" s="3">
        <v>58</v>
      </c>
      <c r="B59" s="3" t="s">
        <v>12</v>
      </c>
      <c r="C59" s="3" t="s">
        <v>13</v>
      </c>
      <c r="D59" s="3" t="s">
        <v>103</v>
      </c>
      <c r="E59" s="3">
        <v>10</v>
      </c>
      <c r="F59" s="3">
        <v>2023</v>
      </c>
      <c r="G59" s="9" t="s">
        <v>87</v>
      </c>
      <c r="H59" s="3">
        <v>4546</v>
      </c>
      <c r="I59" s="3">
        <v>4489</v>
      </c>
      <c r="J59" s="3">
        <v>57</v>
      </c>
      <c r="K59" s="3">
        <v>1.3</v>
      </c>
      <c r="L59" s="3" t="s">
        <v>83</v>
      </c>
      <c r="M59">
        <f t="shared" si="10"/>
        <v>4339</v>
      </c>
      <c r="N59">
        <f t="shared" si="9"/>
        <v>4252.6902892296257</v>
      </c>
      <c r="O59">
        <f t="shared" si="0"/>
        <v>57</v>
      </c>
      <c r="P59" s="6">
        <f t="shared" si="1"/>
        <v>1.2538495380554333E-2</v>
      </c>
      <c r="Q59" s="6">
        <f t="shared" si="2"/>
        <v>6.4520393922211677E-2</v>
      </c>
    </row>
    <row r="60" spans="1:17" x14ac:dyDescent="0.25">
      <c r="A60" s="2">
        <v>59</v>
      </c>
      <c r="B60" s="2" t="s">
        <v>12</v>
      </c>
      <c r="C60" s="2" t="s">
        <v>13</v>
      </c>
      <c r="D60" s="2" t="s">
        <v>103</v>
      </c>
      <c r="E60" s="2">
        <v>11</v>
      </c>
      <c r="F60" s="2">
        <v>2023</v>
      </c>
      <c r="G60" s="8" t="s">
        <v>88</v>
      </c>
      <c r="H60" s="2">
        <v>4929</v>
      </c>
      <c r="I60" s="2">
        <v>4680</v>
      </c>
      <c r="J60" s="2">
        <v>249</v>
      </c>
      <c r="K60" s="2">
        <v>5.0999999999999996</v>
      </c>
      <c r="L60" s="2" t="s">
        <v>78</v>
      </c>
      <c r="M60">
        <f t="shared" si="10"/>
        <v>4289.666666666667</v>
      </c>
      <c r="N60">
        <f t="shared" si="9"/>
        <v>4340.6832024607374</v>
      </c>
      <c r="O60">
        <f t="shared" si="0"/>
        <v>249</v>
      </c>
      <c r="P60" s="6">
        <f t="shared" si="1"/>
        <v>5.0517346317711501E-2</v>
      </c>
      <c r="Q60" s="6">
        <f t="shared" si="2"/>
        <v>0.11935824660971039</v>
      </c>
    </row>
    <row r="61" spans="1:17" x14ac:dyDescent="0.25">
      <c r="A61" s="3">
        <v>60</v>
      </c>
      <c r="B61" s="3" t="s">
        <v>12</v>
      </c>
      <c r="C61" s="3" t="s">
        <v>13</v>
      </c>
      <c r="D61" s="3" t="s">
        <v>103</v>
      </c>
      <c r="E61" s="3">
        <v>12</v>
      </c>
      <c r="F61" s="3">
        <v>2023</v>
      </c>
      <c r="G61" s="9" t="s">
        <v>89</v>
      </c>
      <c r="H61" s="3">
        <v>4985</v>
      </c>
      <c r="I61" s="3">
        <v>5073</v>
      </c>
      <c r="J61" s="3">
        <v>-88</v>
      </c>
      <c r="K61" s="3">
        <v>1.8</v>
      </c>
      <c r="L61" s="3" t="s">
        <v>78</v>
      </c>
      <c r="M61">
        <f t="shared" si="10"/>
        <v>4392.666666666667</v>
      </c>
      <c r="N61">
        <f t="shared" si="9"/>
        <v>4517.1782417225158</v>
      </c>
      <c r="O61">
        <f t="shared" si="0"/>
        <v>88</v>
      </c>
      <c r="P61" s="6">
        <f t="shared" si="1"/>
        <v>1.765295887662989E-2</v>
      </c>
      <c r="Q61" s="6">
        <f t="shared" si="2"/>
        <v>9.3845889323467227E-2</v>
      </c>
    </row>
    <row r="62" spans="1:17" x14ac:dyDescent="0.25">
      <c r="A62" s="2">
        <v>61</v>
      </c>
      <c r="B62" s="2" t="s">
        <v>12</v>
      </c>
      <c r="C62" s="2" t="s">
        <v>13</v>
      </c>
      <c r="D62" s="2" t="s">
        <v>103</v>
      </c>
      <c r="E62" s="2">
        <v>1</v>
      </c>
      <c r="F62" s="2">
        <v>2024</v>
      </c>
      <c r="G62" s="8" t="s">
        <v>90</v>
      </c>
      <c r="H62" s="2">
        <v>3463</v>
      </c>
      <c r="I62" s="2">
        <v>3121</v>
      </c>
      <c r="J62" s="2">
        <v>342</v>
      </c>
      <c r="K62" s="2">
        <v>9.9</v>
      </c>
      <c r="L62" s="2" t="s">
        <v>83</v>
      </c>
      <c r="M62">
        <f t="shared" si="10"/>
        <v>4820</v>
      </c>
      <c r="N62">
        <f t="shared" si="9"/>
        <v>4657.524769205761</v>
      </c>
      <c r="O62">
        <f t="shared" si="0"/>
        <v>342</v>
      </c>
      <c r="P62" s="6">
        <f t="shared" si="1"/>
        <v>9.8758302050245453E-2</v>
      </c>
      <c r="Q62" s="6">
        <f t="shared" si="2"/>
        <v>0.3449392922915856</v>
      </c>
    </row>
    <row r="63" spans="1:17" x14ac:dyDescent="0.25">
      <c r="A63" s="3">
        <v>62</v>
      </c>
      <c r="B63" s="3" t="s">
        <v>12</v>
      </c>
      <c r="C63" s="3" t="s">
        <v>13</v>
      </c>
      <c r="D63" s="3" t="s">
        <v>103</v>
      </c>
      <c r="E63" s="3">
        <v>2</v>
      </c>
      <c r="F63" s="3">
        <v>2024</v>
      </c>
      <c r="G63" s="9" t="s">
        <v>91</v>
      </c>
      <c r="H63" s="3">
        <v>3374</v>
      </c>
      <c r="I63" s="3">
        <v>3191</v>
      </c>
      <c r="J63" s="3">
        <v>183</v>
      </c>
      <c r="K63" s="3">
        <v>5.4</v>
      </c>
      <c r="L63" s="3" t="s">
        <v>78</v>
      </c>
      <c r="M63">
        <f t="shared" si="10"/>
        <v>4459</v>
      </c>
      <c r="N63">
        <f t="shared" si="9"/>
        <v>4299.1673384440328</v>
      </c>
      <c r="O63">
        <f t="shared" si="0"/>
        <v>183</v>
      </c>
      <c r="P63" s="6">
        <f t="shared" si="1"/>
        <v>5.4238292827504447E-2</v>
      </c>
      <c r="Q63" s="6">
        <f t="shared" si="2"/>
        <v>0.27420490173207845</v>
      </c>
    </row>
    <row r="64" spans="1:17" x14ac:dyDescent="0.25">
      <c r="A64" s="2">
        <v>63</v>
      </c>
      <c r="B64" s="2" t="s">
        <v>12</v>
      </c>
      <c r="C64" s="2" t="s">
        <v>13</v>
      </c>
      <c r="D64" s="2" t="s">
        <v>103</v>
      </c>
      <c r="E64" s="2">
        <v>3</v>
      </c>
      <c r="F64" s="2">
        <v>2024</v>
      </c>
      <c r="G64" s="8" t="s">
        <v>92</v>
      </c>
      <c r="H64" s="2">
        <v>4117</v>
      </c>
      <c r="I64" s="2">
        <v>3763</v>
      </c>
      <c r="J64" s="2">
        <v>354</v>
      </c>
      <c r="K64" s="2">
        <v>8.6</v>
      </c>
      <c r="L64" s="2" t="s">
        <v>78</v>
      </c>
      <c r="M64">
        <f t="shared" si="10"/>
        <v>3940.6666666666665</v>
      </c>
      <c r="N64">
        <f t="shared" si="9"/>
        <v>4021.6171369108224</v>
      </c>
      <c r="O64">
        <f t="shared" si="0"/>
        <v>354</v>
      </c>
      <c r="P64" s="6">
        <f t="shared" si="1"/>
        <v>8.5984940490648532E-2</v>
      </c>
      <c r="Q64" s="6">
        <f t="shared" si="2"/>
        <v>2.3168050300990426E-2</v>
      </c>
    </row>
    <row r="65" spans="1:17" x14ac:dyDescent="0.25">
      <c r="A65" s="3">
        <v>64</v>
      </c>
      <c r="B65" s="3" t="s">
        <v>12</v>
      </c>
      <c r="C65" s="3" t="s">
        <v>13</v>
      </c>
      <c r="D65" s="3" t="s">
        <v>103</v>
      </c>
      <c r="E65" s="3">
        <v>4</v>
      </c>
      <c r="F65" s="3">
        <v>2024</v>
      </c>
      <c r="G65" s="9" t="s">
        <v>93</v>
      </c>
      <c r="H65" s="3">
        <v>3777</v>
      </c>
      <c r="I65" s="3">
        <v>3765</v>
      </c>
      <c r="J65" s="3">
        <v>12</v>
      </c>
      <c r="K65" s="3">
        <v>0.3</v>
      </c>
      <c r="L65" s="3" t="s">
        <v>83</v>
      </c>
      <c r="M65">
        <f t="shared" si="10"/>
        <v>3651.3333333333335</v>
      </c>
      <c r="N65">
        <f t="shared" si="9"/>
        <v>4050.2319958375756</v>
      </c>
      <c r="O65">
        <f t="shared" si="0"/>
        <v>12</v>
      </c>
      <c r="P65" s="6">
        <f t="shared" si="1"/>
        <v>3.177124702144559E-3</v>
      </c>
      <c r="Q65" s="6">
        <f t="shared" si="2"/>
        <v>7.2341010282651733E-2</v>
      </c>
    </row>
    <row r="66" spans="1:17" x14ac:dyDescent="0.25">
      <c r="A66" s="2">
        <v>65</v>
      </c>
      <c r="B66" s="2" t="s">
        <v>12</v>
      </c>
      <c r="C66" s="2" t="s">
        <v>13</v>
      </c>
      <c r="D66" s="2" t="s">
        <v>103</v>
      </c>
      <c r="E66" s="2">
        <v>5</v>
      </c>
      <c r="F66" s="2">
        <v>2024</v>
      </c>
      <c r="G66" s="8" t="s">
        <v>94</v>
      </c>
      <c r="H66" s="2">
        <v>3819</v>
      </c>
      <c r="I66" s="2">
        <v>4151</v>
      </c>
      <c r="J66" s="2">
        <v>-332</v>
      </c>
      <c r="K66" s="2">
        <v>8.6999999999999993</v>
      </c>
      <c r="L66" s="2" t="s">
        <v>83</v>
      </c>
      <c r="M66">
        <f t="shared" si="10"/>
        <v>3756</v>
      </c>
      <c r="N66">
        <f t="shared" si="9"/>
        <v>3968.2623970863028</v>
      </c>
      <c r="O66">
        <f t="shared" si="0"/>
        <v>332</v>
      </c>
      <c r="P66" s="6">
        <f t="shared" si="1"/>
        <v>8.6933752291175698E-2</v>
      </c>
      <c r="Q66" s="6">
        <f t="shared" si="2"/>
        <v>3.9084157393637818E-2</v>
      </c>
    </row>
    <row r="67" spans="1:17" x14ac:dyDescent="0.25">
      <c r="A67" s="3">
        <v>66</v>
      </c>
      <c r="B67" s="3" t="s">
        <v>12</v>
      </c>
      <c r="C67" s="3" t="s">
        <v>13</v>
      </c>
      <c r="D67" s="3" t="s">
        <v>103</v>
      </c>
      <c r="E67" s="3">
        <v>6</v>
      </c>
      <c r="F67" s="3">
        <v>2024</v>
      </c>
      <c r="G67" s="9" t="s">
        <v>95</v>
      </c>
      <c r="H67" s="3">
        <v>4469</v>
      </c>
      <c r="I67" s="3">
        <v>4239</v>
      </c>
      <c r="J67" s="3">
        <v>230</v>
      </c>
      <c r="K67" s="3">
        <v>5.0999999999999996</v>
      </c>
      <c r="L67" s="3" t="s">
        <v>76</v>
      </c>
      <c r="M67">
        <f t="shared" si="10"/>
        <v>3904.3333333333335</v>
      </c>
      <c r="N67">
        <f t="shared" si="9"/>
        <v>3923.483677960412</v>
      </c>
      <c r="O67">
        <f t="shared" ref="O67:O130" si="11">ABS(H67-I67)</f>
        <v>230</v>
      </c>
      <c r="P67" s="6">
        <f t="shared" ref="P67:P130" si="12">ABS(O67)/H67</f>
        <v>5.146565227120161E-2</v>
      </c>
      <c r="Q67" s="6">
        <f t="shared" ref="Q67:Q130" si="13">ABS((H67-N67))/H67</f>
        <v>0.12206675364501857</v>
      </c>
    </row>
    <row r="68" spans="1:17" x14ac:dyDescent="0.25">
      <c r="A68" s="2">
        <v>67</v>
      </c>
      <c r="B68" s="2" t="s">
        <v>12</v>
      </c>
      <c r="C68" s="2" t="s">
        <v>13</v>
      </c>
      <c r="D68" s="2" t="s">
        <v>103</v>
      </c>
      <c r="E68" s="2">
        <v>7</v>
      </c>
      <c r="F68" s="2">
        <v>2024</v>
      </c>
      <c r="G68" s="8" t="s">
        <v>96</v>
      </c>
      <c r="H68" s="2">
        <v>4627</v>
      </c>
      <c r="I68" s="2">
        <v>4340</v>
      </c>
      <c r="J68" s="2">
        <v>287</v>
      </c>
      <c r="K68" s="2">
        <v>6.2</v>
      </c>
      <c r="L68" s="2" t="s">
        <v>78</v>
      </c>
      <c r="M68">
        <f t="shared" si="10"/>
        <v>4021.6666666666665</v>
      </c>
      <c r="N68">
        <f t="shared" ref="N68:N131" si="14">0.3*H67+(0.7*N67)</f>
        <v>4087.1385745722882</v>
      </c>
      <c r="O68">
        <f t="shared" si="11"/>
        <v>287</v>
      </c>
      <c r="P68" s="6">
        <f t="shared" si="12"/>
        <v>6.2027231467473527E-2</v>
      </c>
      <c r="Q68" s="6">
        <f t="shared" si="13"/>
        <v>0.11667634005353615</v>
      </c>
    </row>
    <row r="69" spans="1:17" x14ac:dyDescent="0.25">
      <c r="A69" s="3">
        <v>68</v>
      </c>
      <c r="B69" s="3" t="s">
        <v>12</v>
      </c>
      <c r="C69" s="3" t="s">
        <v>13</v>
      </c>
      <c r="D69" s="3" t="s">
        <v>103</v>
      </c>
      <c r="E69" s="3">
        <v>8</v>
      </c>
      <c r="F69" s="3">
        <v>2024</v>
      </c>
      <c r="G69" s="9" t="s">
        <v>97</v>
      </c>
      <c r="H69" s="3">
        <v>4349</v>
      </c>
      <c r="I69" s="3">
        <v>4222</v>
      </c>
      <c r="J69" s="3">
        <v>127</v>
      </c>
      <c r="K69" s="3">
        <v>2.9</v>
      </c>
      <c r="L69" s="3" t="s">
        <v>76</v>
      </c>
      <c r="M69">
        <f t="shared" si="10"/>
        <v>4305</v>
      </c>
      <c r="N69">
        <f t="shared" si="14"/>
        <v>4249.0970022006013</v>
      </c>
      <c r="O69">
        <f t="shared" si="11"/>
        <v>127</v>
      </c>
      <c r="P69" s="6">
        <f t="shared" si="12"/>
        <v>2.9202115428834215E-2</v>
      </c>
      <c r="Q69" s="6">
        <f t="shared" si="13"/>
        <v>2.2971487192319773E-2</v>
      </c>
    </row>
    <row r="70" spans="1:17" x14ac:dyDescent="0.25">
      <c r="A70" s="2">
        <v>69</v>
      </c>
      <c r="B70" s="2" t="s">
        <v>12</v>
      </c>
      <c r="C70" s="2" t="s">
        <v>13</v>
      </c>
      <c r="D70" s="2" t="s">
        <v>103</v>
      </c>
      <c r="E70" s="2">
        <v>9</v>
      </c>
      <c r="F70" s="2">
        <v>2024</v>
      </c>
      <c r="G70" s="8" t="s">
        <v>98</v>
      </c>
      <c r="H70" s="2">
        <v>3958</v>
      </c>
      <c r="I70" s="2">
        <v>4139</v>
      </c>
      <c r="J70" s="2">
        <v>-181</v>
      </c>
      <c r="K70" s="2">
        <v>4.5999999999999996</v>
      </c>
      <c r="L70" s="2" t="s">
        <v>83</v>
      </c>
      <c r="M70">
        <f t="shared" ref="M70:M133" si="15">AVERAGE(H67:H69)</f>
        <v>4481.666666666667</v>
      </c>
      <c r="N70">
        <f t="shared" si="14"/>
        <v>4279.0679015404212</v>
      </c>
      <c r="O70">
        <f t="shared" si="11"/>
        <v>181</v>
      </c>
      <c r="P70" s="6">
        <f t="shared" si="12"/>
        <v>4.5730166750884288E-2</v>
      </c>
      <c r="Q70" s="6">
        <f t="shared" si="13"/>
        <v>8.1118721965745627E-2</v>
      </c>
    </row>
    <row r="71" spans="1:17" x14ac:dyDescent="0.25">
      <c r="A71" s="3">
        <v>70</v>
      </c>
      <c r="B71" s="3" t="s">
        <v>12</v>
      </c>
      <c r="C71" s="3" t="s">
        <v>13</v>
      </c>
      <c r="D71" s="3" t="s">
        <v>103</v>
      </c>
      <c r="E71" s="3">
        <v>10</v>
      </c>
      <c r="F71" s="3">
        <v>2024</v>
      </c>
      <c r="G71" s="9" t="s">
        <v>99</v>
      </c>
      <c r="H71" s="3">
        <v>4550</v>
      </c>
      <c r="I71" s="3">
        <v>4683</v>
      </c>
      <c r="J71" s="3">
        <v>-133</v>
      </c>
      <c r="K71" s="3">
        <v>2.9</v>
      </c>
      <c r="L71" s="3" t="s">
        <v>78</v>
      </c>
      <c r="M71">
        <f t="shared" si="15"/>
        <v>4311.333333333333</v>
      </c>
      <c r="N71">
        <f t="shared" si="14"/>
        <v>4182.7475310782947</v>
      </c>
      <c r="O71">
        <f t="shared" si="11"/>
        <v>133</v>
      </c>
      <c r="P71" s="6">
        <f t="shared" si="12"/>
        <v>2.923076923076923E-2</v>
      </c>
      <c r="Q71" s="6">
        <f t="shared" si="13"/>
        <v>8.0714828334440714E-2</v>
      </c>
    </row>
    <row r="72" spans="1:17" x14ac:dyDescent="0.25">
      <c r="A72" s="2">
        <v>71</v>
      </c>
      <c r="B72" s="2" t="s">
        <v>12</v>
      </c>
      <c r="C72" s="2" t="s">
        <v>13</v>
      </c>
      <c r="D72" s="2" t="s">
        <v>103</v>
      </c>
      <c r="E72" s="2">
        <v>11</v>
      </c>
      <c r="F72" s="2">
        <v>2024</v>
      </c>
      <c r="G72" s="8" t="s">
        <v>100</v>
      </c>
      <c r="H72" s="2">
        <v>4870</v>
      </c>
      <c r="I72" s="2">
        <v>4713</v>
      </c>
      <c r="J72" s="2">
        <v>157</v>
      </c>
      <c r="K72" s="2">
        <v>3.2</v>
      </c>
      <c r="L72" s="2" t="s">
        <v>78</v>
      </c>
      <c r="M72">
        <f t="shared" si="15"/>
        <v>4285.666666666667</v>
      </c>
      <c r="N72">
        <f t="shared" si="14"/>
        <v>4292.9232717548057</v>
      </c>
      <c r="O72">
        <f t="shared" si="11"/>
        <v>157</v>
      </c>
      <c r="P72" s="6">
        <f t="shared" si="12"/>
        <v>3.2238193018480493E-2</v>
      </c>
      <c r="Q72" s="6">
        <f t="shared" si="13"/>
        <v>0.11849624809962922</v>
      </c>
    </row>
    <row r="73" spans="1:17" x14ac:dyDescent="0.25">
      <c r="A73" s="3">
        <v>72</v>
      </c>
      <c r="B73" s="3" t="s">
        <v>12</v>
      </c>
      <c r="C73" s="3" t="s">
        <v>13</v>
      </c>
      <c r="D73" s="3" t="s">
        <v>103</v>
      </c>
      <c r="E73" s="3">
        <v>12</v>
      </c>
      <c r="F73" s="3">
        <v>2024</v>
      </c>
      <c r="G73" s="9" t="s">
        <v>101</v>
      </c>
      <c r="H73" s="3">
        <v>4874</v>
      </c>
      <c r="I73" s="3">
        <v>4572</v>
      </c>
      <c r="J73" s="3">
        <v>302</v>
      </c>
      <c r="K73" s="3">
        <v>6.2</v>
      </c>
      <c r="L73" s="3" t="s">
        <v>76</v>
      </c>
      <c r="M73">
        <f t="shared" si="15"/>
        <v>4459.333333333333</v>
      </c>
      <c r="N73">
        <f t="shared" si="14"/>
        <v>4466.0462902283634</v>
      </c>
      <c r="O73">
        <f t="shared" si="11"/>
        <v>302</v>
      </c>
      <c r="P73" s="6">
        <f t="shared" si="12"/>
        <v>6.1961427985227739E-2</v>
      </c>
      <c r="Q73" s="6">
        <f t="shared" si="13"/>
        <v>8.3699981487820388E-2</v>
      </c>
    </row>
    <row r="74" spans="1:17" x14ac:dyDescent="0.25">
      <c r="A74" s="2">
        <v>73</v>
      </c>
      <c r="B74" s="2" t="s">
        <v>20</v>
      </c>
      <c r="C74" s="2" t="s">
        <v>21</v>
      </c>
      <c r="D74" s="2" t="s">
        <v>74</v>
      </c>
      <c r="E74" s="2">
        <v>1</v>
      </c>
      <c r="F74" s="2">
        <v>2023</v>
      </c>
      <c r="G74" s="8" t="s">
        <v>75</v>
      </c>
      <c r="H74" s="2">
        <v>5280</v>
      </c>
      <c r="I74" s="2">
        <v>4945</v>
      </c>
      <c r="J74" s="2">
        <v>335</v>
      </c>
      <c r="K74" s="2">
        <v>6.3</v>
      </c>
      <c r="L74" s="2" t="s">
        <v>76</v>
      </c>
      <c r="M74">
        <f t="shared" si="15"/>
        <v>4764.666666666667</v>
      </c>
      <c r="N74">
        <f t="shared" si="14"/>
        <v>4588.4324031598544</v>
      </c>
      <c r="O74">
        <f t="shared" si="11"/>
        <v>335</v>
      </c>
      <c r="P74" s="6">
        <f t="shared" si="12"/>
        <v>6.3446969696969696E-2</v>
      </c>
      <c r="Q74" s="6">
        <f t="shared" si="13"/>
        <v>0.13097871152275484</v>
      </c>
    </row>
    <row r="75" spans="1:17" x14ac:dyDescent="0.25">
      <c r="A75" s="3">
        <v>74</v>
      </c>
      <c r="B75" s="3" t="s">
        <v>20</v>
      </c>
      <c r="C75" s="3" t="s">
        <v>21</v>
      </c>
      <c r="D75" s="3" t="s">
        <v>74</v>
      </c>
      <c r="E75" s="3">
        <v>2</v>
      </c>
      <c r="F75" s="3">
        <v>2023</v>
      </c>
      <c r="G75" s="9" t="s">
        <v>77</v>
      </c>
      <c r="H75" s="3">
        <v>5241</v>
      </c>
      <c r="I75" s="3">
        <v>5684</v>
      </c>
      <c r="J75" s="3">
        <v>-443</v>
      </c>
      <c r="K75" s="3">
        <v>8.5</v>
      </c>
      <c r="L75" s="3" t="s">
        <v>76</v>
      </c>
      <c r="M75">
        <f t="shared" si="15"/>
        <v>5008</v>
      </c>
      <c r="N75">
        <f t="shared" si="14"/>
        <v>4795.9026822118976</v>
      </c>
      <c r="O75">
        <f t="shared" si="11"/>
        <v>443</v>
      </c>
      <c r="P75" s="6">
        <f t="shared" si="12"/>
        <v>8.4525853844686125E-2</v>
      </c>
      <c r="Q75" s="6">
        <f t="shared" si="13"/>
        <v>8.4926028961668079E-2</v>
      </c>
    </row>
    <row r="76" spans="1:17" x14ac:dyDescent="0.25">
      <c r="A76" s="2">
        <v>75</v>
      </c>
      <c r="B76" s="2" t="s">
        <v>20</v>
      </c>
      <c r="C76" s="2" t="s">
        <v>21</v>
      </c>
      <c r="D76" s="2" t="s">
        <v>74</v>
      </c>
      <c r="E76" s="2">
        <v>3</v>
      </c>
      <c r="F76" s="2">
        <v>2023</v>
      </c>
      <c r="G76" s="8" t="s">
        <v>79</v>
      </c>
      <c r="H76" s="2">
        <v>6937</v>
      </c>
      <c r="I76" s="2">
        <v>7430</v>
      </c>
      <c r="J76" s="2">
        <v>-493</v>
      </c>
      <c r="K76" s="2">
        <v>7.1</v>
      </c>
      <c r="L76" s="2" t="s">
        <v>78</v>
      </c>
      <c r="M76">
        <f t="shared" si="15"/>
        <v>5131.666666666667</v>
      </c>
      <c r="N76">
        <f t="shared" si="14"/>
        <v>4929.431877548328</v>
      </c>
      <c r="O76">
        <f t="shared" si="11"/>
        <v>493</v>
      </c>
      <c r="P76" s="6">
        <f t="shared" si="12"/>
        <v>7.1068185094421213E-2</v>
      </c>
      <c r="Q76" s="6">
        <f t="shared" si="13"/>
        <v>0.28940004648287043</v>
      </c>
    </row>
    <row r="77" spans="1:17" x14ac:dyDescent="0.25">
      <c r="A77" s="3">
        <v>76</v>
      </c>
      <c r="B77" s="3" t="s">
        <v>20</v>
      </c>
      <c r="C77" s="3" t="s">
        <v>21</v>
      </c>
      <c r="D77" s="3" t="s">
        <v>74</v>
      </c>
      <c r="E77" s="3">
        <v>4</v>
      </c>
      <c r="F77" s="3">
        <v>2023</v>
      </c>
      <c r="G77" s="9" t="s">
        <v>80</v>
      </c>
      <c r="H77" s="3">
        <v>6066</v>
      </c>
      <c r="I77" s="3">
        <v>6671</v>
      </c>
      <c r="J77" s="3">
        <v>-605</v>
      </c>
      <c r="K77" s="3">
        <v>10</v>
      </c>
      <c r="L77" s="3" t="s">
        <v>78</v>
      </c>
      <c r="M77">
        <f t="shared" si="15"/>
        <v>5819.333333333333</v>
      </c>
      <c r="N77">
        <f t="shared" si="14"/>
        <v>5531.7023142838298</v>
      </c>
      <c r="O77">
        <f t="shared" si="11"/>
        <v>605</v>
      </c>
      <c r="P77" s="6">
        <f t="shared" si="12"/>
        <v>9.9736234751071545E-2</v>
      </c>
      <c r="Q77" s="6">
        <f t="shared" si="13"/>
        <v>8.8080726296763973E-2</v>
      </c>
    </row>
    <row r="78" spans="1:17" x14ac:dyDescent="0.25">
      <c r="A78" s="2">
        <v>77</v>
      </c>
      <c r="B78" s="2" t="s">
        <v>20</v>
      </c>
      <c r="C78" s="2" t="s">
        <v>21</v>
      </c>
      <c r="D78" s="2" t="s">
        <v>74</v>
      </c>
      <c r="E78" s="2">
        <v>5</v>
      </c>
      <c r="F78" s="2">
        <v>2023</v>
      </c>
      <c r="G78" s="8" t="s">
        <v>81</v>
      </c>
      <c r="H78" s="2">
        <v>7943</v>
      </c>
      <c r="I78" s="2">
        <v>8620</v>
      </c>
      <c r="J78" s="2">
        <v>-677</v>
      </c>
      <c r="K78" s="2">
        <v>8.5</v>
      </c>
      <c r="L78" s="2" t="s">
        <v>78</v>
      </c>
      <c r="M78">
        <f t="shared" si="15"/>
        <v>6081.333333333333</v>
      </c>
      <c r="N78">
        <f t="shared" si="14"/>
        <v>5691.9916199986801</v>
      </c>
      <c r="O78">
        <f t="shared" si="11"/>
        <v>677</v>
      </c>
      <c r="P78" s="6">
        <f t="shared" si="12"/>
        <v>8.5232279994964119E-2</v>
      </c>
      <c r="Q78" s="6">
        <f t="shared" si="13"/>
        <v>0.28339523857501192</v>
      </c>
    </row>
    <row r="79" spans="1:17" x14ac:dyDescent="0.25">
      <c r="A79" s="3">
        <v>78</v>
      </c>
      <c r="B79" s="3" t="s">
        <v>20</v>
      </c>
      <c r="C79" s="3" t="s">
        <v>21</v>
      </c>
      <c r="D79" s="3" t="s">
        <v>74</v>
      </c>
      <c r="E79" s="3">
        <v>6</v>
      </c>
      <c r="F79" s="3">
        <v>2023</v>
      </c>
      <c r="G79" s="9" t="s">
        <v>82</v>
      </c>
      <c r="H79" s="3">
        <v>6880</v>
      </c>
      <c r="I79" s="3">
        <v>6860</v>
      </c>
      <c r="J79" s="3">
        <v>20</v>
      </c>
      <c r="K79" s="3">
        <v>0.3</v>
      </c>
      <c r="L79" s="3" t="s">
        <v>78</v>
      </c>
      <c r="M79">
        <f t="shared" si="15"/>
        <v>6982</v>
      </c>
      <c r="N79">
        <f t="shared" si="14"/>
        <v>6367.2941339990757</v>
      </c>
      <c r="O79">
        <f t="shared" si="11"/>
        <v>20</v>
      </c>
      <c r="P79" s="6">
        <f t="shared" si="12"/>
        <v>2.9069767441860465E-3</v>
      </c>
      <c r="Q79" s="6">
        <f t="shared" si="13"/>
        <v>7.4521201453622718E-2</v>
      </c>
    </row>
    <row r="80" spans="1:17" x14ac:dyDescent="0.25">
      <c r="A80" s="2">
        <v>79</v>
      </c>
      <c r="B80" s="2" t="s">
        <v>20</v>
      </c>
      <c r="C80" s="2" t="s">
        <v>21</v>
      </c>
      <c r="D80" s="2" t="s">
        <v>74</v>
      </c>
      <c r="E80" s="2">
        <v>7</v>
      </c>
      <c r="F80" s="2">
        <v>2023</v>
      </c>
      <c r="G80" s="8" t="s">
        <v>84</v>
      </c>
      <c r="H80" s="2">
        <v>7986</v>
      </c>
      <c r="I80" s="2">
        <v>8628</v>
      </c>
      <c r="J80" s="2">
        <v>-642</v>
      </c>
      <c r="K80" s="2">
        <v>8</v>
      </c>
      <c r="L80" s="2" t="s">
        <v>78</v>
      </c>
      <c r="M80">
        <f t="shared" si="15"/>
        <v>6963</v>
      </c>
      <c r="N80">
        <f t="shared" si="14"/>
        <v>6521.105893799353</v>
      </c>
      <c r="O80">
        <f t="shared" si="11"/>
        <v>642</v>
      </c>
      <c r="P80" s="6">
        <f t="shared" si="12"/>
        <v>8.0390683696468818E-2</v>
      </c>
      <c r="Q80" s="6">
        <f t="shared" si="13"/>
        <v>0.1834327706236723</v>
      </c>
    </row>
    <row r="81" spans="1:17" x14ac:dyDescent="0.25">
      <c r="A81" s="3">
        <v>80</v>
      </c>
      <c r="B81" s="3" t="s">
        <v>20</v>
      </c>
      <c r="C81" s="3" t="s">
        <v>21</v>
      </c>
      <c r="D81" s="3" t="s">
        <v>74</v>
      </c>
      <c r="E81" s="3">
        <v>8</v>
      </c>
      <c r="F81" s="3">
        <v>2023</v>
      </c>
      <c r="G81" s="9" t="s">
        <v>85</v>
      </c>
      <c r="H81" s="3">
        <v>6932</v>
      </c>
      <c r="I81" s="3">
        <v>7604</v>
      </c>
      <c r="J81" s="3">
        <v>-672</v>
      </c>
      <c r="K81" s="3">
        <v>9.6999999999999993</v>
      </c>
      <c r="L81" s="3" t="s">
        <v>76</v>
      </c>
      <c r="M81">
        <f t="shared" si="15"/>
        <v>7603</v>
      </c>
      <c r="N81">
        <f t="shared" si="14"/>
        <v>6960.5741256595466</v>
      </c>
      <c r="O81">
        <f t="shared" si="11"/>
        <v>672</v>
      </c>
      <c r="P81" s="6">
        <f t="shared" si="12"/>
        <v>9.6941719561454129E-2</v>
      </c>
      <c r="Q81" s="6">
        <f t="shared" si="13"/>
        <v>4.1220608279784413E-3</v>
      </c>
    </row>
    <row r="82" spans="1:17" x14ac:dyDescent="0.25">
      <c r="A82" s="2">
        <v>81</v>
      </c>
      <c r="B82" s="2" t="s">
        <v>20</v>
      </c>
      <c r="C82" s="2" t="s">
        <v>21</v>
      </c>
      <c r="D82" s="2" t="s">
        <v>74</v>
      </c>
      <c r="E82" s="2">
        <v>9</v>
      </c>
      <c r="F82" s="2">
        <v>2023</v>
      </c>
      <c r="G82" s="8" t="s">
        <v>86</v>
      </c>
      <c r="H82" s="2">
        <v>7496</v>
      </c>
      <c r="I82" s="2">
        <v>7923</v>
      </c>
      <c r="J82" s="2">
        <v>-427</v>
      </c>
      <c r="K82" s="2">
        <v>5.7</v>
      </c>
      <c r="L82" s="2" t="s">
        <v>76</v>
      </c>
      <c r="M82">
        <f t="shared" si="15"/>
        <v>7266</v>
      </c>
      <c r="N82">
        <f t="shared" si="14"/>
        <v>6952.0018879616819</v>
      </c>
      <c r="O82">
        <f t="shared" si="11"/>
        <v>427</v>
      </c>
      <c r="P82" s="6">
        <f t="shared" si="12"/>
        <v>5.6963713980789754E-2</v>
      </c>
      <c r="Q82" s="6">
        <f t="shared" si="13"/>
        <v>7.2571786557939985E-2</v>
      </c>
    </row>
    <row r="83" spans="1:17" x14ac:dyDescent="0.25">
      <c r="A83" s="3">
        <v>82</v>
      </c>
      <c r="B83" s="3" t="s">
        <v>20</v>
      </c>
      <c r="C83" s="3" t="s">
        <v>21</v>
      </c>
      <c r="D83" s="3" t="s">
        <v>74</v>
      </c>
      <c r="E83" s="3">
        <v>10</v>
      </c>
      <c r="F83" s="3">
        <v>2023</v>
      </c>
      <c r="G83" s="9" t="s">
        <v>87</v>
      </c>
      <c r="H83" s="3">
        <v>7341</v>
      </c>
      <c r="I83" s="3">
        <v>8012</v>
      </c>
      <c r="J83" s="3">
        <v>-671</v>
      </c>
      <c r="K83" s="3">
        <v>9.1</v>
      </c>
      <c r="L83" s="3" t="s">
        <v>83</v>
      </c>
      <c r="M83">
        <f t="shared" si="15"/>
        <v>7471.333333333333</v>
      </c>
      <c r="N83">
        <f t="shared" si="14"/>
        <v>7115.2013215731768</v>
      </c>
      <c r="O83">
        <f t="shared" si="11"/>
        <v>671</v>
      </c>
      <c r="P83" s="6">
        <f t="shared" si="12"/>
        <v>9.1404440811878485E-2</v>
      </c>
      <c r="Q83" s="6">
        <f t="shared" si="13"/>
        <v>3.0758572187280103E-2</v>
      </c>
    </row>
    <row r="84" spans="1:17" x14ac:dyDescent="0.25">
      <c r="A84" s="2">
        <v>83</v>
      </c>
      <c r="B84" s="2" t="s">
        <v>20</v>
      </c>
      <c r="C84" s="2" t="s">
        <v>21</v>
      </c>
      <c r="D84" s="2" t="s">
        <v>74</v>
      </c>
      <c r="E84" s="2">
        <v>11</v>
      </c>
      <c r="F84" s="2">
        <v>2023</v>
      </c>
      <c r="G84" s="8" t="s">
        <v>88</v>
      </c>
      <c r="H84" s="2">
        <v>8830</v>
      </c>
      <c r="I84" s="2">
        <v>8806</v>
      </c>
      <c r="J84" s="2">
        <v>24</v>
      </c>
      <c r="K84" s="2">
        <v>0.3</v>
      </c>
      <c r="L84" s="2" t="s">
        <v>78</v>
      </c>
      <c r="M84">
        <f t="shared" si="15"/>
        <v>7256.333333333333</v>
      </c>
      <c r="N84">
        <f t="shared" si="14"/>
        <v>7182.9409251012239</v>
      </c>
      <c r="O84">
        <f t="shared" si="11"/>
        <v>24</v>
      </c>
      <c r="P84" s="6">
        <f t="shared" si="12"/>
        <v>2.7180067950169874E-3</v>
      </c>
      <c r="Q84" s="6">
        <f t="shared" si="13"/>
        <v>0.18652990655705279</v>
      </c>
    </row>
    <row r="85" spans="1:17" x14ac:dyDescent="0.25">
      <c r="A85" s="3">
        <v>84</v>
      </c>
      <c r="B85" s="3" t="s">
        <v>20</v>
      </c>
      <c r="C85" s="3" t="s">
        <v>21</v>
      </c>
      <c r="D85" s="3" t="s">
        <v>74</v>
      </c>
      <c r="E85" s="3">
        <v>12</v>
      </c>
      <c r="F85" s="3">
        <v>2023</v>
      </c>
      <c r="G85" s="9" t="s">
        <v>89</v>
      </c>
      <c r="H85" s="3">
        <v>8408</v>
      </c>
      <c r="I85" s="3">
        <v>9196</v>
      </c>
      <c r="J85" s="3">
        <v>-788</v>
      </c>
      <c r="K85" s="3">
        <v>9.4</v>
      </c>
      <c r="L85" s="3" t="s">
        <v>83</v>
      </c>
      <c r="M85">
        <f t="shared" si="15"/>
        <v>7889</v>
      </c>
      <c r="N85">
        <f t="shared" si="14"/>
        <v>7677.058647570856</v>
      </c>
      <c r="O85">
        <f t="shared" si="11"/>
        <v>788</v>
      </c>
      <c r="P85" s="6">
        <f t="shared" si="12"/>
        <v>9.3720266412940054E-2</v>
      </c>
      <c r="Q85" s="6">
        <f t="shared" si="13"/>
        <v>8.6934033352657467E-2</v>
      </c>
    </row>
    <row r="86" spans="1:17" x14ac:dyDescent="0.25">
      <c r="A86" s="2">
        <v>85</v>
      </c>
      <c r="B86" s="2" t="s">
        <v>20</v>
      </c>
      <c r="C86" s="2" t="s">
        <v>21</v>
      </c>
      <c r="D86" s="2" t="s">
        <v>74</v>
      </c>
      <c r="E86" s="2">
        <v>1</v>
      </c>
      <c r="F86" s="2">
        <v>2024</v>
      </c>
      <c r="G86" s="8" t="s">
        <v>90</v>
      </c>
      <c r="H86" s="2">
        <v>6107</v>
      </c>
      <c r="I86" s="2">
        <v>5570</v>
      </c>
      <c r="J86" s="2">
        <v>537</v>
      </c>
      <c r="K86" s="2">
        <v>8.8000000000000007</v>
      </c>
      <c r="L86" s="2" t="s">
        <v>76</v>
      </c>
      <c r="M86">
        <f t="shared" si="15"/>
        <v>8193</v>
      </c>
      <c r="N86">
        <f t="shared" si="14"/>
        <v>7896.3410532995986</v>
      </c>
      <c r="O86">
        <f t="shared" si="11"/>
        <v>537</v>
      </c>
      <c r="P86" s="6">
        <f t="shared" si="12"/>
        <v>8.7931881447519233E-2</v>
      </c>
      <c r="Q86" s="6">
        <f t="shared" si="13"/>
        <v>0.29299837126241995</v>
      </c>
    </row>
    <row r="87" spans="1:17" x14ac:dyDescent="0.25">
      <c r="A87" s="3">
        <v>86</v>
      </c>
      <c r="B87" s="3" t="s">
        <v>20</v>
      </c>
      <c r="C87" s="3" t="s">
        <v>21</v>
      </c>
      <c r="D87" s="3" t="s">
        <v>74</v>
      </c>
      <c r="E87" s="3">
        <v>2</v>
      </c>
      <c r="F87" s="3">
        <v>2024</v>
      </c>
      <c r="G87" s="9" t="s">
        <v>91</v>
      </c>
      <c r="H87" s="3">
        <v>4983</v>
      </c>
      <c r="I87" s="3">
        <v>5066</v>
      </c>
      <c r="J87" s="3">
        <v>-83</v>
      </c>
      <c r="K87" s="3">
        <v>1.7</v>
      </c>
      <c r="L87" s="3" t="s">
        <v>83</v>
      </c>
      <c r="M87">
        <f t="shared" si="15"/>
        <v>7781.666666666667</v>
      </c>
      <c r="N87">
        <f t="shared" si="14"/>
        <v>7359.5387373097183</v>
      </c>
      <c r="O87">
        <f t="shared" si="11"/>
        <v>83</v>
      </c>
      <c r="P87" s="6">
        <f t="shared" si="12"/>
        <v>1.6656632550672287E-2</v>
      </c>
      <c r="Q87" s="6">
        <f t="shared" si="13"/>
        <v>0.47692930710610443</v>
      </c>
    </row>
    <row r="88" spans="1:17" x14ac:dyDescent="0.25">
      <c r="A88" s="2">
        <v>87</v>
      </c>
      <c r="B88" s="2" t="s">
        <v>20</v>
      </c>
      <c r="C88" s="2" t="s">
        <v>21</v>
      </c>
      <c r="D88" s="2" t="s">
        <v>74</v>
      </c>
      <c r="E88" s="2">
        <v>3</v>
      </c>
      <c r="F88" s="2">
        <v>2024</v>
      </c>
      <c r="G88" s="8" t="s">
        <v>92</v>
      </c>
      <c r="H88" s="2">
        <v>7110</v>
      </c>
      <c r="I88" s="2">
        <v>7154</v>
      </c>
      <c r="J88" s="2">
        <v>-44</v>
      </c>
      <c r="K88" s="2">
        <v>0.6</v>
      </c>
      <c r="L88" s="2" t="s">
        <v>78</v>
      </c>
      <c r="M88">
        <f t="shared" si="15"/>
        <v>6499.333333333333</v>
      </c>
      <c r="N88">
        <f t="shared" si="14"/>
        <v>6646.5771161168022</v>
      </c>
      <c r="O88">
        <f t="shared" si="11"/>
        <v>44</v>
      </c>
      <c r="P88" s="6">
        <f t="shared" si="12"/>
        <v>6.188466947960619E-3</v>
      </c>
      <c r="Q88" s="6">
        <f t="shared" si="13"/>
        <v>6.5179027269085477E-2</v>
      </c>
    </row>
    <row r="89" spans="1:17" x14ac:dyDescent="0.25">
      <c r="A89" s="3">
        <v>88</v>
      </c>
      <c r="B89" s="3" t="s">
        <v>20</v>
      </c>
      <c r="C89" s="3" t="s">
        <v>21</v>
      </c>
      <c r="D89" s="3" t="s">
        <v>74</v>
      </c>
      <c r="E89" s="3">
        <v>4</v>
      </c>
      <c r="F89" s="3">
        <v>2024</v>
      </c>
      <c r="G89" s="9" t="s">
        <v>93</v>
      </c>
      <c r="H89" s="3">
        <v>7551</v>
      </c>
      <c r="I89" s="3">
        <v>6916</v>
      </c>
      <c r="J89" s="3">
        <v>635</v>
      </c>
      <c r="K89" s="3">
        <v>8.4</v>
      </c>
      <c r="L89" s="3" t="s">
        <v>78</v>
      </c>
      <c r="M89">
        <f t="shared" si="15"/>
        <v>6066.666666666667</v>
      </c>
      <c r="N89">
        <f t="shared" si="14"/>
        <v>6785.6039812817617</v>
      </c>
      <c r="O89">
        <f t="shared" si="11"/>
        <v>635</v>
      </c>
      <c r="P89" s="6">
        <f t="shared" si="12"/>
        <v>8.4094821877896964E-2</v>
      </c>
      <c r="Q89" s="6">
        <f t="shared" si="13"/>
        <v>0.1013635304884437</v>
      </c>
    </row>
    <row r="90" spans="1:17" x14ac:dyDescent="0.25">
      <c r="A90" s="2">
        <v>89</v>
      </c>
      <c r="B90" s="2" t="s">
        <v>20</v>
      </c>
      <c r="C90" s="2" t="s">
        <v>21</v>
      </c>
      <c r="D90" s="2" t="s">
        <v>74</v>
      </c>
      <c r="E90" s="2">
        <v>5</v>
      </c>
      <c r="F90" s="2">
        <v>2024</v>
      </c>
      <c r="G90" s="8" t="s">
        <v>94</v>
      </c>
      <c r="H90" s="2">
        <v>6400</v>
      </c>
      <c r="I90" s="2">
        <v>5846</v>
      </c>
      <c r="J90" s="2">
        <v>554</v>
      </c>
      <c r="K90" s="2">
        <v>8.6999999999999993</v>
      </c>
      <c r="L90" s="2" t="s">
        <v>78</v>
      </c>
      <c r="M90">
        <f t="shared" si="15"/>
        <v>6548</v>
      </c>
      <c r="N90">
        <f t="shared" si="14"/>
        <v>7015.2227868972332</v>
      </c>
      <c r="O90">
        <f t="shared" si="11"/>
        <v>554</v>
      </c>
      <c r="P90" s="6">
        <f t="shared" si="12"/>
        <v>8.6562500000000001E-2</v>
      </c>
      <c r="Q90" s="6">
        <f t="shared" si="13"/>
        <v>9.6128560452692677E-2</v>
      </c>
    </row>
    <row r="91" spans="1:17" x14ac:dyDescent="0.25">
      <c r="A91" s="3">
        <v>90</v>
      </c>
      <c r="B91" s="3" t="s">
        <v>20</v>
      </c>
      <c r="C91" s="3" t="s">
        <v>21</v>
      </c>
      <c r="D91" s="3" t="s">
        <v>74</v>
      </c>
      <c r="E91" s="3">
        <v>6</v>
      </c>
      <c r="F91" s="3">
        <v>2024</v>
      </c>
      <c r="G91" s="9" t="s">
        <v>95</v>
      </c>
      <c r="H91" s="3">
        <v>7307</v>
      </c>
      <c r="I91" s="3">
        <v>7952</v>
      </c>
      <c r="J91" s="3">
        <v>-645</v>
      </c>
      <c r="K91" s="3">
        <v>8.8000000000000007</v>
      </c>
      <c r="L91" s="3" t="s">
        <v>83</v>
      </c>
      <c r="M91">
        <f t="shared" si="15"/>
        <v>7020.333333333333</v>
      </c>
      <c r="N91">
        <f t="shared" si="14"/>
        <v>6830.6559508280625</v>
      </c>
      <c r="O91">
        <f t="shared" si="11"/>
        <v>645</v>
      </c>
      <c r="P91" s="6">
        <f t="shared" si="12"/>
        <v>8.8271520459833039E-2</v>
      </c>
      <c r="Q91" s="6">
        <f t="shared" si="13"/>
        <v>6.519009842232619E-2</v>
      </c>
    </row>
    <row r="92" spans="1:17" x14ac:dyDescent="0.25">
      <c r="A92" s="2">
        <v>91</v>
      </c>
      <c r="B92" s="2" t="s">
        <v>20</v>
      </c>
      <c r="C92" s="2" t="s">
        <v>21</v>
      </c>
      <c r="D92" s="2" t="s">
        <v>74</v>
      </c>
      <c r="E92" s="2">
        <v>7</v>
      </c>
      <c r="F92" s="2">
        <v>2024</v>
      </c>
      <c r="G92" s="8" t="s">
        <v>96</v>
      </c>
      <c r="H92" s="2">
        <v>6896</v>
      </c>
      <c r="I92" s="2">
        <v>7026</v>
      </c>
      <c r="J92" s="2">
        <v>-130</v>
      </c>
      <c r="K92" s="2">
        <v>1.9</v>
      </c>
      <c r="L92" s="2" t="s">
        <v>83</v>
      </c>
      <c r="M92">
        <f t="shared" si="15"/>
        <v>7086</v>
      </c>
      <c r="N92">
        <f t="shared" si="14"/>
        <v>6973.5591655796434</v>
      </c>
      <c r="O92">
        <f t="shared" si="11"/>
        <v>130</v>
      </c>
      <c r="P92" s="6">
        <f t="shared" si="12"/>
        <v>1.8851508120649653E-2</v>
      </c>
      <c r="Q92" s="6">
        <f t="shared" si="13"/>
        <v>1.1246978767349678E-2</v>
      </c>
    </row>
    <row r="93" spans="1:17" x14ac:dyDescent="0.25">
      <c r="A93" s="3">
        <v>92</v>
      </c>
      <c r="B93" s="3" t="s">
        <v>20</v>
      </c>
      <c r="C93" s="3" t="s">
        <v>21</v>
      </c>
      <c r="D93" s="3" t="s">
        <v>74</v>
      </c>
      <c r="E93" s="3">
        <v>8</v>
      </c>
      <c r="F93" s="3">
        <v>2024</v>
      </c>
      <c r="G93" s="9" t="s">
        <v>97</v>
      </c>
      <c r="H93" s="3">
        <v>6423</v>
      </c>
      <c r="I93" s="3">
        <v>6625</v>
      </c>
      <c r="J93" s="3">
        <v>-202</v>
      </c>
      <c r="K93" s="3">
        <v>3.1</v>
      </c>
      <c r="L93" s="3" t="s">
        <v>83</v>
      </c>
      <c r="M93">
        <f t="shared" si="15"/>
        <v>6867.666666666667</v>
      </c>
      <c r="N93">
        <f t="shared" si="14"/>
        <v>6950.2914159057491</v>
      </c>
      <c r="O93">
        <f t="shared" si="11"/>
        <v>202</v>
      </c>
      <c r="P93" s="6">
        <f t="shared" si="12"/>
        <v>3.144947843686751E-2</v>
      </c>
      <c r="Q93" s="6">
        <f t="shared" si="13"/>
        <v>8.2094257497392048E-2</v>
      </c>
    </row>
    <row r="94" spans="1:17" x14ac:dyDescent="0.25">
      <c r="A94" s="2">
        <v>93</v>
      </c>
      <c r="B94" s="2" t="s">
        <v>20</v>
      </c>
      <c r="C94" s="2" t="s">
        <v>21</v>
      </c>
      <c r="D94" s="2" t="s">
        <v>74</v>
      </c>
      <c r="E94" s="2">
        <v>9</v>
      </c>
      <c r="F94" s="2">
        <v>2024</v>
      </c>
      <c r="G94" s="8" t="s">
        <v>98</v>
      </c>
      <c r="H94" s="2">
        <v>6837</v>
      </c>
      <c r="I94" s="2">
        <v>7431</v>
      </c>
      <c r="J94" s="2">
        <v>-594</v>
      </c>
      <c r="K94" s="2">
        <v>8.6999999999999993</v>
      </c>
      <c r="L94" s="2" t="s">
        <v>78</v>
      </c>
      <c r="M94">
        <f t="shared" si="15"/>
        <v>6875.333333333333</v>
      </c>
      <c r="N94">
        <f t="shared" si="14"/>
        <v>6792.103991134024</v>
      </c>
      <c r="O94">
        <f t="shared" si="11"/>
        <v>594</v>
      </c>
      <c r="P94" s="6">
        <f t="shared" si="12"/>
        <v>8.6880210618692402E-2</v>
      </c>
      <c r="Q94" s="6">
        <f t="shared" si="13"/>
        <v>6.5666240845364925E-3</v>
      </c>
    </row>
    <row r="95" spans="1:17" x14ac:dyDescent="0.25">
      <c r="A95" s="3">
        <v>94</v>
      </c>
      <c r="B95" s="3" t="s">
        <v>20</v>
      </c>
      <c r="C95" s="3" t="s">
        <v>21</v>
      </c>
      <c r="D95" s="3" t="s">
        <v>74</v>
      </c>
      <c r="E95" s="3">
        <v>10</v>
      </c>
      <c r="F95" s="3">
        <v>2024</v>
      </c>
      <c r="G95" s="9" t="s">
        <v>99</v>
      </c>
      <c r="H95" s="3">
        <v>7784</v>
      </c>
      <c r="I95" s="3">
        <v>7494</v>
      </c>
      <c r="J95" s="3">
        <v>290</v>
      </c>
      <c r="K95" s="3">
        <v>3.7</v>
      </c>
      <c r="L95" s="3" t="s">
        <v>76</v>
      </c>
      <c r="M95">
        <f t="shared" si="15"/>
        <v>6718.666666666667</v>
      </c>
      <c r="N95">
        <f t="shared" si="14"/>
        <v>6805.5727937938173</v>
      </c>
      <c r="O95">
        <f t="shared" si="11"/>
        <v>290</v>
      </c>
      <c r="P95" s="6">
        <f t="shared" si="12"/>
        <v>3.7255909558067832E-2</v>
      </c>
      <c r="Q95" s="6">
        <f t="shared" si="13"/>
        <v>0.12569722587438115</v>
      </c>
    </row>
    <row r="96" spans="1:17" x14ac:dyDescent="0.25">
      <c r="A96" s="2">
        <v>95</v>
      </c>
      <c r="B96" s="2" t="s">
        <v>20</v>
      </c>
      <c r="C96" s="2" t="s">
        <v>21</v>
      </c>
      <c r="D96" s="2" t="s">
        <v>74</v>
      </c>
      <c r="E96" s="2">
        <v>11</v>
      </c>
      <c r="F96" s="2">
        <v>2024</v>
      </c>
      <c r="G96" s="8" t="s">
        <v>100</v>
      </c>
      <c r="H96" s="2">
        <v>8287</v>
      </c>
      <c r="I96" s="2">
        <v>8571</v>
      </c>
      <c r="J96" s="2">
        <v>-284</v>
      </c>
      <c r="K96" s="2">
        <v>3.4</v>
      </c>
      <c r="L96" s="2" t="s">
        <v>76</v>
      </c>
      <c r="M96">
        <f t="shared" si="15"/>
        <v>7014.666666666667</v>
      </c>
      <c r="N96">
        <f t="shared" si="14"/>
        <v>7099.1009556556719</v>
      </c>
      <c r="O96">
        <f t="shared" si="11"/>
        <v>284</v>
      </c>
      <c r="P96" s="6">
        <f t="shared" si="12"/>
        <v>3.4270544225895982E-2</v>
      </c>
      <c r="Q96" s="6">
        <f t="shared" si="13"/>
        <v>0.14334488287007699</v>
      </c>
    </row>
    <row r="97" spans="1:17" x14ac:dyDescent="0.25">
      <c r="A97" s="3">
        <v>96</v>
      </c>
      <c r="B97" s="3" t="s">
        <v>20</v>
      </c>
      <c r="C97" s="3" t="s">
        <v>21</v>
      </c>
      <c r="D97" s="3" t="s">
        <v>74</v>
      </c>
      <c r="E97" s="3">
        <v>12</v>
      </c>
      <c r="F97" s="3">
        <v>2024</v>
      </c>
      <c r="G97" s="9" t="s">
        <v>101</v>
      </c>
      <c r="H97" s="3">
        <v>8749</v>
      </c>
      <c r="I97" s="3">
        <v>9499</v>
      </c>
      <c r="J97" s="3">
        <v>-750</v>
      </c>
      <c r="K97" s="3">
        <v>8.6</v>
      </c>
      <c r="L97" s="3" t="s">
        <v>78</v>
      </c>
      <c r="M97">
        <f t="shared" si="15"/>
        <v>7636</v>
      </c>
      <c r="N97">
        <f t="shared" si="14"/>
        <v>7455.4706689589693</v>
      </c>
      <c r="O97">
        <f t="shared" si="11"/>
        <v>750</v>
      </c>
      <c r="P97" s="6">
        <f t="shared" si="12"/>
        <v>8.5724082752314551E-2</v>
      </c>
      <c r="Q97" s="6">
        <f t="shared" si="13"/>
        <v>0.14784882055560986</v>
      </c>
    </row>
    <row r="98" spans="1:17" x14ac:dyDescent="0.25">
      <c r="A98" s="2">
        <v>97</v>
      </c>
      <c r="B98" s="2" t="s">
        <v>20</v>
      </c>
      <c r="C98" s="2" t="s">
        <v>21</v>
      </c>
      <c r="D98" s="2" t="s">
        <v>102</v>
      </c>
      <c r="E98" s="2">
        <v>1</v>
      </c>
      <c r="F98" s="2">
        <v>2023</v>
      </c>
      <c r="G98" s="8" t="s">
        <v>75</v>
      </c>
      <c r="H98" s="2">
        <v>4334</v>
      </c>
      <c r="I98" s="2">
        <v>4439</v>
      </c>
      <c r="J98" s="2">
        <v>-105</v>
      </c>
      <c r="K98" s="2">
        <v>2.4</v>
      </c>
      <c r="L98" s="2" t="s">
        <v>83</v>
      </c>
      <c r="M98">
        <f t="shared" si="15"/>
        <v>8273.3333333333339</v>
      </c>
      <c r="N98">
        <f t="shared" si="14"/>
        <v>7843.5294682712783</v>
      </c>
      <c r="O98">
        <f t="shared" si="11"/>
        <v>105</v>
      </c>
      <c r="P98" s="6">
        <f t="shared" si="12"/>
        <v>2.4227041993539457E-2</v>
      </c>
      <c r="Q98" s="6">
        <f t="shared" si="13"/>
        <v>0.80976683624164247</v>
      </c>
    </row>
    <row r="99" spans="1:17" x14ac:dyDescent="0.25">
      <c r="A99" s="3">
        <v>98</v>
      </c>
      <c r="B99" s="3" t="s">
        <v>20</v>
      </c>
      <c r="C99" s="3" t="s">
        <v>21</v>
      </c>
      <c r="D99" s="3" t="s">
        <v>102</v>
      </c>
      <c r="E99" s="3">
        <v>2</v>
      </c>
      <c r="F99" s="3">
        <v>2023</v>
      </c>
      <c r="G99" s="9" t="s">
        <v>77</v>
      </c>
      <c r="H99" s="3">
        <v>5303</v>
      </c>
      <c r="I99" s="3">
        <v>4850</v>
      </c>
      <c r="J99" s="3">
        <v>453</v>
      </c>
      <c r="K99" s="3">
        <v>8.5</v>
      </c>
      <c r="L99" s="3" t="s">
        <v>78</v>
      </c>
      <c r="M99">
        <f t="shared" si="15"/>
        <v>7123.333333333333</v>
      </c>
      <c r="N99">
        <f t="shared" si="14"/>
        <v>6790.6706277898948</v>
      </c>
      <c r="O99">
        <f t="shared" si="11"/>
        <v>453</v>
      </c>
      <c r="P99" s="6">
        <f t="shared" si="12"/>
        <v>8.5423345276258722E-2</v>
      </c>
      <c r="Q99" s="6">
        <f t="shared" si="13"/>
        <v>0.28053377857625772</v>
      </c>
    </row>
    <row r="100" spans="1:17" x14ac:dyDescent="0.25">
      <c r="A100" s="2">
        <v>99</v>
      </c>
      <c r="B100" s="2" t="s">
        <v>20</v>
      </c>
      <c r="C100" s="2" t="s">
        <v>21</v>
      </c>
      <c r="D100" s="2" t="s">
        <v>102</v>
      </c>
      <c r="E100" s="2">
        <v>3</v>
      </c>
      <c r="F100" s="2">
        <v>2023</v>
      </c>
      <c r="G100" s="8" t="s">
        <v>79</v>
      </c>
      <c r="H100" s="2">
        <v>5498</v>
      </c>
      <c r="I100" s="2">
        <v>5093</v>
      </c>
      <c r="J100" s="2">
        <v>405</v>
      </c>
      <c r="K100" s="2">
        <v>7.4</v>
      </c>
      <c r="L100" s="2" t="s">
        <v>76</v>
      </c>
      <c r="M100">
        <f t="shared" si="15"/>
        <v>6128.666666666667</v>
      </c>
      <c r="N100">
        <f t="shared" si="14"/>
        <v>6344.3694394529257</v>
      </c>
      <c r="O100">
        <f t="shared" si="11"/>
        <v>405</v>
      </c>
      <c r="P100" s="6">
        <f t="shared" si="12"/>
        <v>7.366315023644962E-2</v>
      </c>
      <c r="Q100" s="6">
        <f t="shared" si="13"/>
        <v>0.15394133129372967</v>
      </c>
    </row>
    <row r="101" spans="1:17" x14ac:dyDescent="0.25">
      <c r="A101" s="3">
        <v>100</v>
      </c>
      <c r="B101" s="3" t="s">
        <v>20</v>
      </c>
      <c r="C101" s="3" t="s">
        <v>21</v>
      </c>
      <c r="D101" s="3" t="s">
        <v>102</v>
      </c>
      <c r="E101" s="3">
        <v>4</v>
      </c>
      <c r="F101" s="3">
        <v>2023</v>
      </c>
      <c r="G101" s="9" t="s">
        <v>80</v>
      </c>
      <c r="H101" s="3">
        <v>6308</v>
      </c>
      <c r="I101" s="3">
        <v>6786</v>
      </c>
      <c r="J101" s="3">
        <v>-478</v>
      </c>
      <c r="K101" s="3">
        <v>7.6</v>
      </c>
      <c r="L101" s="3" t="s">
        <v>76</v>
      </c>
      <c r="M101">
        <f t="shared" si="15"/>
        <v>5045</v>
      </c>
      <c r="N101">
        <f t="shared" si="14"/>
        <v>6090.4586076170472</v>
      </c>
      <c r="O101">
        <f t="shared" si="11"/>
        <v>478</v>
      </c>
      <c r="P101" s="6">
        <f t="shared" si="12"/>
        <v>7.5776791376030439E-2</v>
      </c>
      <c r="Q101" s="6">
        <f t="shared" si="13"/>
        <v>3.4486587251577813E-2</v>
      </c>
    </row>
    <row r="102" spans="1:17" x14ac:dyDescent="0.25">
      <c r="A102" s="2">
        <v>101</v>
      </c>
      <c r="B102" s="2" t="s">
        <v>20</v>
      </c>
      <c r="C102" s="2" t="s">
        <v>21</v>
      </c>
      <c r="D102" s="2" t="s">
        <v>102</v>
      </c>
      <c r="E102" s="2">
        <v>5</v>
      </c>
      <c r="F102" s="2">
        <v>2023</v>
      </c>
      <c r="G102" s="8" t="s">
        <v>81</v>
      </c>
      <c r="H102" s="2">
        <v>5755</v>
      </c>
      <c r="I102" s="2">
        <v>5683</v>
      </c>
      <c r="J102" s="2">
        <v>72</v>
      </c>
      <c r="K102" s="2">
        <v>1.3</v>
      </c>
      <c r="L102" s="2" t="s">
        <v>83</v>
      </c>
      <c r="M102">
        <f t="shared" si="15"/>
        <v>5703</v>
      </c>
      <c r="N102">
        <f t="shared" si="14"/>
        <v>6155.7210253319327</v>
      </c>
      <c r="O102">
        <f t="shared" si="11"/>
        <v>72</v>
      </c>
      <c r="P102" s="6">
        <f t="shared" si="12"/>
        <v>1.2510860121633362E-2</v>
      </c>
      <c r="Q102" s="6">
        <f t="shared" si="13"/>
        <v>6.9630065218407061E-2</v>
      </c>
    </row>
    <row r="103" spans="1:17" x14ac:dyDescent="0.25">
      <c r="A103" s="3">
        <v>102</v>
      </c>
      <c r="B103" s="3" t="s">
        <v>20</v>
      </c>
      <c r="C103" s="3" t="s">
        <v>21</v>
      </c>
      <c r="D103" s="3" t="s">
        <v>102</v>
      </c>
      <c r="E103" s="3">
        <v>6</v>
      </c>
      <c r="F103" s="3">
        <v>2023</v>
      </c>
      <c r="G103" s="9" t="s">
        <v>82</v>
      </c>
      <c r="H103" s="3">
        <v>6668</v>
      </c>
      <c r="I103" s="3">
        <v>6816</v>
      </c>
      <c r="J103" s="3">
        <v>-148</v>
      </c>
      <c r="K103" s="3">
        <v>2.2000000000000002</v>
      </c>
      <c r="L103" s="3" t="s">
        <v>83</v>
      </c>
      <c r="M103">
        <f t="shared" si="15"/>
        <v>5853.666666666667</v>
      </c>
      <c r="N103">
        <f t="shared" si="14"/>
        <v>6035.5047177323522</v>
      </c>
      <c r="O103">
        <f t="shared" si="11"/>
        <v>148</v>
      </c>
      <c r="P103" s="6">
        <f t="shared" si="12"/>
        <v>2.2195560887822437E-2</v>
      </c>
      <c r="Q103" s="6">
        <f t="shared" si="13"/>
        <v>9.4855321275891982E-2</v>
      </c>
    </row>
    <row r="104" spans="1:17" x14ac:dyDescent="0.25">
      <c r="A104" s="2">
        <v>103</v>
      </c>
      <c r="B104" s="2" t="s">
        <v>20</v>
      </c>
      <c r="C104" s="2" t="s">
        <v>21</v>
      </c>
      <c r="D104" s="2" t="s">
        <v>102</v>
      </c>
      <c r="E104" s="2">
        <v>7</v>
      </c>
      <c r="F104" s="2">
        <v>2023</v>
      </c>
      <c r="G104" s="8" t="s">
        <v>84</v>
      </c>
      <c r="H104" s="2">
        <v>6285</v>
      </c>
      <c r="I104" s="2">
        <v>6496</v>
      </c>
      <c r="J104" s="2">
        <v>-211</v>
      </c>
      <c r="K104" s="2">
        <v>3.4</v>
      </c>
      <c r="L104" s="2" t="s">
        <v>83</v>
      </c>
      <c r="M104">
        <f t="shared" si="15"/>
        <v>6243.666666666667</v>
      </c>
      <c r="N104">
        <f t="shared" si="14"/>
        <v>6225.253302412646</v>
      </c>
      <c r="O104">
        <f t="shared" si="11"/>
        <v>211</v>
      </c>
      <c r="P104" s="6">
        <f t="shared" si="12"/>
        <v>3.3571996817820207E-2</v>
      </c>
      <c r="Q104" s="6">
        <f t="shared" si="13"/>
        <v>9.5062366885209221E-3</v>
      </c>
    </row>
    <row r="105" spans="1:17" x14ac:dyDescent="0.25">
      <c r="A105" s="3">
        <v>104</v>
      </c>
      <c r="B105" s="3" t="s">
        <v>20</v>
      </c>
      <c r="C105" s="3" t="s">
        <v>21</v>
      </c>
      <c r="D105" s="3" t="s">
        <v>102</v>
      </c>
      <c r="E105" s="3">
        <v>8</v>
      </c>
      <c r="F105" s="3">
        <v>2023</v>
      </c>
      <c r="G105" s="9" t="s">
        <v>85</v>
      </c>
      <c r="H105" s="3">
        <v>5776</v>
      </c>
      <c r="I105" s="3">
        <v>5964</v>
      </c>
      <c r="J105" s="3">
        <v>-188</v>
      </c>
      <c r="K105" s="3">
        <v>3.3</v>
      </c>
      <c r="L105" s="3" t="s">
        <v>78</v>
      </c>
      <c r="M105">
        <f t="shared" si="15"/>
        <v>6236</v>
      </c>
      <c r="N105">
        <f t="shared" si="14"/>
        <v>6243.1773116888517</v>
      </c>
      <c r="O105">
        <f t="shared" si="11"/>
        <v>188</v>
      </c>
      <c r="P105" s="6">
        <f t="shared" si="12"/>
        <v>3.254847645429363E-2</v>
      </c>
      <c r="Q105" s="6">
        <f t="shared" si="13"/>
        <v>8.0882498561089269E-2</v>
      </c>
    </row>
    <row r="106" spans="1:17" x14ac:dyDescent="0.25">
      <c r="A106" s="2">
        <v>105</v>
      </c>
      <c r="B106" s="2" t="s">
        <v>20</v>
      </c>
      <c r="C106" s="2" t="s">
        <v>21</v>
      </c>
      <c r="D106" s="2" t="s">
        <v>102</v>
      </c>
      <c r="E106" s="2">
        <v>9</v>
      </c>
      <c r="F106" s="2">
        <v>2023</v>
      </c>
      <c r="G106" s="8" t="s">
        <v>86</v>
      </c>
      <c r="H106" s="2">
        <v>5453</v>
      </c>
      <c r="I106" s="2">
        <v>5878</v>
      </c>
      <c r="J106" s="2">
        <v>-425</v>
      </c>
      <c r="K106" s="2">
        <v>7.8</v>
      </c>
      <c r="L106" s="2" t="s">
        <v>83</v>
      </c>
      <c r="M106">
        <f t="shared" si="15"/>
        <v>6243</v>
      </c>
      <c r="N106">
        <f t="shared" si="14"/>
        <v>6103.0241181821957</v>
      </c>
      <c r="O106">
        <f t="shared" si="11"/>
        <v>425</v>
      </c>
      <c r="P106" s="6">
        <f t="shared" si="12"/>
        <v>7.7938749312305156E-2</v>
      </c>
      <c r="Q106" s="6">
        <f t="shared" si="13"/>
        <v>0.11920486304459851</v>
      </c>
    </row>
    <row r="107" spans="1:17" x14ac:dyDescent="0.25">
      <c r="A107" s="3">
        <v>106</v>
      </c>
      <c r="B107" s="3" t="s">
        <v>20</v>
      </c>
      <c r="C107" s="3" t="s">
        <v>21</v>
      </c>
      <c r="D107" s="3" t="s">
        <v>102</v>
      </c>
      <c r="E107" s="3">
        <v>10</v>
      </c>
      <c r="F107" s="3">
        <v>2023</v>
      </c>
      <c r="G107" s="9" t="s">
        <v>87</v>
      </c>
      <c r="H107" s="3">
        <v>6439</v>
      </c>
      <c r="I107" s="3">
        <v>6145</v>
      </c>
      <c r="J107" s="3">
        <v>294</v>
      </c>
      <c r="K107" s="3">
        <v>4.5999999999999996</v>
      </c>
      <c r="L107" s="3" t="s">
        <v>83</v>
      </c>
      <c r="M107">
        <f t="shared" si="15"/>
        <v>5838</v>
      </c>
      <c r="N107">
        <f t="shared" si="14"/>
        <v>5908.0168827275365</v>
      </c>
      <c r="O107">
        <f t="shared" si="11"/>
        <v>294</v>
      </c>
      <c r="P107" s="6">
        <f t="shared" si="12"/>
        <v>4.5659263860847961E-2</v>
      </c>
      <c r="Q107" s="6">
        <f t="shared" si="13"/>
        <v>8.2463599514282254E-2</v>
      </c>
    </row>
    <row r="108" spans="1:17" x14ac:dyDescent="0.25">
      <c r="A108" s="2">
        <v>107</v>
      </c>
      <c r="B108" s="2" t="s">
        <v>20</v>
      </c>
      <c r="C108" s="2" t="s">
        <v>21</v>
      </c>
      <c r="D108" s="2" t="s">
        <v>102</v>
      </c>
      <c r="E108" s="2">
        <v>11</v>
      </c>
      <c r="F108" s="2">
        <v>2023</v>
      </c>
      <c r="G108" s="8" t="s">
        <v>88</v>
      </c>
      <c r="H108" s="2">
        <v>6723</v>
      </c>
      <c r="I108" s="2">
        <v>6511</v>
      </c>
      <c r="J108" s="2">
        <v>212</v>
      </c>
      <c r="K108" s="2">
        <v>3.2</v>
      </c>
      <c r="L108" s="2" t="s">
        <v>83</v>
      </c>
      <c r="M108">
        <f t="shared" si="15"/>
        <v>5889.333333333333</v>
      </c>
      <c r="N108">
        <f t="shared" si="14"/>
        <v>6067.3118179092753</v>
      </c>
      <c r="O108">
        <f t="shared" si="11"/>
        <v>212</v>
      </c>
      <c r="P108" s="6">
        <f t="shared" si="12"/>
        <v>3.1533541573702216E-2</v>
      </c>
      <c r="Q108" s="6">
        <f t="shared" si="13"/>
        <v>9.7529106364825924E-2</v>
      </c>
    </row>
    <row r="109" spans="1:17" x14ac:dyDescent="0.25">
      <c r="A109" s="3">
        <v>108</v>
      </c>
      <c r="B109" s="3" t="s">
        <v>20</v>
      </c>
      <c r="C109" s="3" t="s">
        <v>21</v>
      </c>
      <c r="D109" s="3" t="s">
        <v>102</v>
      </c>
      <c r="E109" s="3">
        <v>12</v>
      </c>
      <c r="F109" s="3">
        <v>2023</v>
      </c>
      <c r="G109" s="9" t="s">
        <v>89</v>
      </c>
      <c r="H109" s="3">
        <v>7756</v>
      </c>
      <c r="I109" s="3">
        <v>7389</v>
      </c>
      <c r="J109" s="3">
        <v>367</v>
      </c>
      <c r="K109" s="3">
        <v>4.7</v>
      </c>
      <c r="L109" s="3" t="s">
        <v>76</v>
      </c>
      <c r="M109">
        <f t="shared" si="15"/>
        <v>6205</v>
      </c>
      <c r="N109">
        <f t="shared" si="14"/>
        <v>6264.0182725364921</v>
      </c>
      <c r="O109">
        <f t="shared" si="11"/>
        <v>367</v>
      </c>
      <c r="P109" s="6">
        <f t="shared" si="12"/>
        <v>4.731820526044353E-2</v>
      </c>
      <c r="Q109" s="6">
        <f t="shared" si="13"/>
        <v>0.19236484366471221</v>
      </c>
    </row>
    <row r="110" spans="1:17" x14ac:dyDescent="0.25">
      <c r="A110" s="2">
        <v>109</v>
      </c>
      <c r="B110" s="2" t="s">
        <v>20</v>
      </c>
      <c r="C110" s="2" t="s">
        <v>21</v>
      </c>
      <c r="D110" s="2" t="s">
        <v>102</v>
      </c>
      <c r="E110" s="2">
        <v>1</v>
      </c>
      <c r="F110" s="2">
        <v>2024</v>
      </c>
      <c r="G110" s="8" t="s">
        <v>90</v>
      </c>
      <c r="H110" s="2">
        <v>4619</v>
      </c>
      <c r="I110" s="2">
        <v>4996</v>
      </c>
      <c r="J110" s="2">
        <v>-377</v>
      </c>
      <c r="K110" s="2">
        <v>8.1999999999999993</v>
      </c>
      <c r="L110" s="2" t="s">
        <v>78</v>
      </c>
      <c r="M110">
        <f t="shared" si="15"/>
        <v>6972.666666666667</v>
      </c>
      <c r="N110">
        <f t="shared" si="14"/>
        <v>6711.6127907755435</v>
      </c>
      <c r="O110">
        <f t="shared" si="11"/>
        <v>377</v>
      </c>
      <c r="P110" s="6">
        <f t="shared" si="12"/>
        <v>8.1619398138125132E-2</v>
      </c>
      <c r="Q110" s="6">
        <f t="shared" si="13"/>
        <v>0.45304455310143832</v>
      </c>
    </row>
    <row r="111" spans="1:17" x14ac:dyDescent="0.25">
      <c r="A111" s="3">
        <v>110</v>
      </c>
      <c r="B111" s="3" t="s">
        <v>20</v>
      </c>
      <c r="C111" s="3" t="s">
        <v>21</v>
      </c>
      <c r="D111" s="3" t="s">
        <v>102</v>
      </c>
      <c r="E111" s="3">
        <v>2</v>
      </c>
      <c r="F111" s="3">
        <v>2024</v>
      </c>
      <c r="G111" s="9" t="s">
        <v>91</v>
      </c>
      <c r="H111" s="3">
        <v>4275</v>
      </c>
      <c r="I111" s="3">
        <v>4209</v>
      </c>
      <c r="J111" s="3">
        <v>66</v>
      </c>
      <c r="K111" s="3">
        <v>1.5</v>
      </c>
      <c r="L111" s="3" t="s">
        <v>76</v>
      </c>
      <c r="M111">
        <f t="shared" si="15"/>
        <v>6366</v>
      </c>
      <c r="N111">
        <f t="shared" si="14"/>
        <v>6083.8289535428803</v>
      </c>
      <c r="O111">
        <f t="shared" si="11"/>
        <v>66</v>
      </c>
      <c r="P111" s="6">
        <f t="shared" si="12"/>
        <v>1.5438596491228071E-2</v>
      </c>
      <c r="Q111" s="6">
        <f t="shared" si="13"/>
        <v>0.42311788386967958</v>
      </c>
    </row>
    <row r="112" spans="1:17" x14ac:dyDescent="0.25">
      <c r="A112" s="2">
        <v>111</v>
      </c>
      <c r="B112" s="2" t="s">
        <v>20</v>
      </c>
      <c r="C112" s="2" t="s">
        <v>21</v>
      </c>
      <c r="D112" s="2" t="s">
        <v>102</v>
      </c>
      <c r="E112" s="2">
        <v>3</v>
      </c>
      <c r="F112" s="2">
        <v>2024</v>
      </c>
      <c r="G112" s="8" t="s">
        <v>92</v>
      </c>
      <c r="H112" s="2">
        <v>4890</v>
      </c>
      <c r="I112" s="2">
        <v>4727</v>
      </c>
      <c r="J112" s="2">
        <v>163</v>
      </c>
      <c r="K112" s="2">
        <v>3.3</v>
      </c>
      <c r="L112" s="2" t="s">
        <v>78</v>
      </c>
      <c r="M112">
        <f t="shared" si="15"/>
        <v>5550</v>
      </c>
      <c r="N112">
        <f t="shared" si="14"/>
        <v>5541.1802674800156</v>
      </c>
      <c r="O112">
        <f t="shared" si="11"/>
        <v>163</v>
      </c>
      <c r="P112" s="6">
        <f t="shared" si="12"/>
        <v>3.3333333333333333E-2</v>
      </c>
      <c r="Q112" s="6">
        <f t="shared" si="13"/>
        <v>0.13316569887116883</v>
      </c>
    </row>
    <row r="113" spans="1:17" x14ac:dyDescent="0.25">
      <c r="A113" s="3">
        <v>112</v>
      </c>
      <c r="B113" s="3" t="s">
        <v>20</v>
      </c>
      <c r="C113" s="3" t="s">
        <v>21</v>
      </c>
      <c r="D113" s="3" t="s">
        <v>102</v>
      </c>
      <c r="E113" s="3">
        <v>4</v>
      </c>
      <c r="F113" s="3">
        <v>2024</v>
      </c>
      <c r="G113" s="9" t="s">
        <v>93</v>
      </c>
      <c r="H113" s="3">
        <v>5970</v>
      </c>
      <c r="I113" s="3">
        <v>5685</v>
      </c>
      <c r="J113" s="3">
        <v>285</v>
      </c>
      <c r="K113" s="3">
        <v>4.8</v>
      </c>
      <c r="L113" s="3" t="s">
        <v>83</v>
      </c>
      <c r="M113">
        <f t="shared" si="15"/>
        <v>4594.666666666667</v>
      </c>
      <c r="N113">
        <f t="shared" si="14"/>
        <v>5345.8261872360108</v>
      </c>
      <c r="O113">
        <f t="shared" si="11"/>
        <v>285</v>
      </c>
      <c r="P113" s="6">
        <f t="shared" si="12"/>
        <v>4.7738693467336682E-2</v>
      </c>
      <c r="Q113" s="6">
        <f t="shared" si="13"/>
        <v>0.10455172743115397</v>
      </c>
    </row>
    <row r="114" spans="1:17" x14ac:dyDescent="0.25">
      <c r="A114" s="2">
        <v>113</v>
      </c>
      <c r="B114" s="2" t="s">
        <v>20</v>
      </c>
      <c r="C114" s="2" t="s">
        <v>21</v>
      </c>
      <c r="D114" s="2" t="s">
        <v>102</v>
      </c>
      <c r="E114" s="2">
        <v>5</v>
      </c>
      <c r="F114" s="2">
        <v>2024</v>
      </c>
      <c r="G114" s="8" t="s">
        <v>94</v>
      </c>
      <c r="H114" s="2">
        <v>5984</v>
      </c>
      <c r="I114" s="2">
        <v>6230</v>
      </c>
      <c r="J114" s="2">
        <v>-246</v>
      </c>
      <c r="K114" s="2">
        <v>4.0999999999999996</v>
      </c>
      <c r="L114" s="2" t="s">
        <v>83</v>
      </c>
      <c r="M114">
        <f t="shared" si="15"/>
        <v>5045</v>
      </c>
      <c r="N114">
        <f t="shared" si="14"/>
        <v>5533.0783310652077</v>
      </c>
      <c r="O114">
        <f t="shared" si="11"/>
        <v>246</v>
      </c>
      <c r="P114" s="6">
        <f t="shared" si="12"/>
        <v>4.1109625668449196E-2</v>
      </c>
      <c r="Q114" s="6">
        <f t="shared" si="13"/>
        <v>7.5354556974397094E-2</v>
      </c>
    </row>
    <row r="115" spans="1:17" x14ac:dyDescent="0.25">
      <c r="A115" s="3">
        <v>114</v>
      </c>
      <c r="B115" s="3" t="s">
        <v>20</v>
      </c>
      <c r="C115" s="3" t="s">
        <v>21</v>
      </c>
      <c r="D115" s="3" t="s">
        <v>102</v>
      </c>
      <c r="E115" s="3">
        <v>6</v>
      </c>
      <c r="F115" s="3">
        <v>2024</v>
      </c>
      <c r="G115" s="9" t="s">
        <v>95</v>
      </c>
      <c r="H115" s="3">
        <v>5609</v>
      </c>
      <c r="I115" s="3">
        <v>5132</v>
      </c>
      <c r="J115" s="3">
        <v>477</v>
      </c>
      <c r="K115" s="3">
        <v>8.5</v>
      </c>
      <c r="L115" s="3" t="s">
        <v>83</v>
      </c>
      <c r="M115">
        <f t="shared" si="15"/>
        <v>5614.666666666667</v>
      </c>
      <c r="N115">
        <f t="shared" si="14"/>
        <v>5668.3548317456452</v>
      </c>
      <c r="O115">
        <f t="shared" si="11"/>
        <v>477</v>
      </c>
      <c r="P115" s="6">
        <f t="shared" si="12"/>
        <v>8.5041896951328216E-2</v>
      </c>
      <c r="Q115" s="6">
        <f t="shared" si="13"/>
        <v>1.0582070198902699E-2</v>
      </c>
    </row>
    <row r="116" spans="1:17" x14ac:dyDescent="0.25">
      <c r="A116" s="2">
        <v>115</v>
      </c>
      <c r="B116" s="2" t="s">
        <v>20</v>
      </c>
      <c r="C116" s="2" t="s">
        <v>21</v>
      </c>
      <c r="D116" s="2" t="s">
        <v>102</v>
      </c>
      <c r="E116" s="2">
        <v>7</v>
      </c>
      <c r="F116" s="2">
        <v>2024</v>
      </c>
      <c r="G116" s="8" t="s">
        <v>96</v>
      </c>
      <c r="H116" s="2">
        <v>6847</v>
      </c>
      <c r="I116" s="2">
        <v>6909</v>
      </c>
      <c r="J116" s="2">
        <v>-62</v>
      </c>
      <c r="K116" s="2">
        <v>0.9</v>
      </c>
      <c r="L116" s="2" t="s">
        <v>76</v>
      </c>
      <c r="M116">
        <f t="shared" si="15"/>
        <v>5854.333333333333</v>
      </c>
      <c r="N116">
        <f t="shared" si="14"/>
        <v>5650.5483822219512</v>
      </c>
      <c r="O116">
        <f t="shared" si="11"/>
        <v>62</v>
      </c>
      <c r="P116" s="6">
        <f t="shared" si="12"/>
        <v>9.055060610486344E-3</v>
      </c>
      <c r="Q116" s="6">
        <f t="shared" si="13"/>
        <v>0.17474099865313988</v>
      </c>
    </row>
    <row r="117" spans="1:17" x14ac:dyDescent="0.25">
      <c r="A117" s="3">
        <v>116</v>
      </c>
      <c r="B117" s="3" t="s">
        <v>20</v>
      </c>
      <c r="C117" s="3" t="s">
        <v>21</v>
      </c>
      <c r="D117" s="3" t="s">
        <v>102</v>
      </c>
      <c r="E117" s="3">
        <v>8</v>
      </c>
      <c r="F117" s="3">
        <v>2024</v>
      </c>
      <c r="G117" s="9" t="s">
        <v>97</v>
      </c>
      <c r="H117" s="3">
        <v>6189</v>
      </c>
      <c r="I117" s="3">
        <v>5753</v>
      </c>
      <c r="J117" s="3">
        <v>436</v>
      </c>
      <c r="K117" s="3">
        <v>7</v>
      </c>
      <c r="L117" s="3" t="s">
        <v>78</v>
      </c>
      <c r="M117">
        <f t="shared" si="15"/>
        <v>6146.666666666667</v>
      </c>
      <c r="N117">
        <f t="shared" si="14"/>
        <v>6009.4838675553656</v>
      </c>
      <c r="O117">
        <f t="shared" si="11"/>
        <v>436</v>
      </c>
      <c r="P117" s="6">
        <f t="shared" si="12"/>
        <v>7.0447568266278876E-2</v>
      </c>
      <c r="Q117" s="6">
        <f t="shared" si="13"/>
        <v>2.9005676594705838E-2</v>
      </c>
    </row>
    <row r="118" spans="1:17" x14ac:dyDescent="0.25">
      <c r="A118" s="2">
        <v>117</v>
      </c>
      <c r="B118" s="2" t="s">
        <v>20</v>
      </c>
      <c r="C118" s="2" t="s">
        <v>21</v>
      </c>
      <c r="D118" s="2" t="s">
        <v>102</v>
      </c>
      <c r="E118" s="2">
        <v>9</v>
      </c>
      <c r="F118" s="2">
        <v>2024</v>
      </c>
      <c r="G118" s="8" t="s">
        <v>98</v>
      </c>
      <c r="H118" s="2">
        <v>5144</v>
      </c>
      <c r="I118" s="2">
        <v>5004</v>
      </c>
      <c r="J118" s="2">
        <v>140</v>
      </c>
      <c r="K118" s="2">
        <v>2.7</v>
      </c>
      <c r="L118" s="2" t="s">
        <v>78</v>
      </c>
      <c r="M118">
        <f t="shared" si="15"/>
        <v>6215</v>
      </c>
      <c r="N118">
        <f t="shared" si="14"/>
        <v>6063.3387072887554</v>
      </c>
      <c r="O118">
        <f t="shared" si="11"/>
        <v>140</v>
      </c>
      <c r="P118" s="6">
        <f t="shared" si="12"/>
        <v>2.7216174183514776E-2</v>
      </c>
      <c r="Q118" s="6">
        <f t="shared" si="13"/>
        <v>0.17872058850870048</v>
      </c>
    </row>
    <row r="119" spans="1:17" x14ac:dyDescent="0.25">
      <c r="A119" s="3">
        <v>118</v>
      </c>
      <c r="B119" s="3" t="s">
        <v>20</v>
      </c>
      <c r="C119" s="3" t="s">
        <v>21</v>
      </c>
      <c r="D119" s="3" t="s">
        <v>102</v>
      </c>
      <c r="E119" s="3">
        <v>10</v>
      </c>
      <c r="F119" s="3">
        <v>2024</v>
      </c>
      <c r="G119" s="9" t="s">
        <v>99</v>
      </c>
      <c r="H119" s="3">
        <v>6966</v>
      </c>
      <c r="I119" s="3">
        <v>6562</v>
      </c>
      <c r="J119" s="3">
        <v>404</v>
      </c>
      <c r="K119" s="3">
        <v>5.8</v>
      </c>
      <c r="L119" s="3" t="s">
        <v>78</v>
      </c>
      <c r="M119">
        <f t="shared" si="15"/>
        <v>6060</v>
      </c>
      <c r="N119">
        <f t="shared" si="14"/>
        <v>5787.5370951021287</v>
      </c>
      <c r="O119">
        <f t="shared" si="11"/>
        <v>404</v>
      </c>
      <c r="P119" s="6">
        <f t="shared" si="12"/>
        <v>5.799598047660063E-2</v>
      </c>
      <c r="Q119" s="6">
        <f t="shared" si="13"/>
        <v>0.16917354362587875</v>
      </c>
    </row>
    <row r="120" spans="1:17" x14ac:dyDescent="0.25">
      <c r="A120" s="2">
        <v>119</v>
      </c>
      <c r="B120" s="2" t="s">
        <v>20</v>
      </c>
      <c r="C120" s="2" t="s">
        <v>21</v>
      </c>
      <c r="D120" s="2" t="s">
        <v>102</v>
      </c>
      <c r="E120" s="2">
        <v>11</v>
      </c>
      <c r="F120" s="2">
        <v>2024</v>
      </c>
      <c r="G120" s="8" t="s">
        <v>100</v>
      </c>
      <c r="H120" s="2">
        <v>7514</v>
      </c>
      <c r="I120" s="2">
        <v>7294</v>
      </c>
      <c r="J120" s="2">
        <v>220</v>
      </c>
      <c r="K120" s="2">
        <v>2.9</v>
      </c>
      <c r="L120" s="2" t="s">
        <v>83</v>
      </c>
      <c r="M120">
        <f t="shared" si="15"/>
        <v>6099.666666666667</v>
      </c>
      <c r="N120">
        <f t="shared" si="14"/>
        <v>6141.0759665714895</v>
      </c>
      <c r="O120">
        <f t="shared" si="11"/>
        <v>220</v>
      </c>
      <c r="P120" s="6">
        <f t="shared" si="12"/>
        <v>2.9278679797710941E-2</v>
      </c>
      <c r="Q120" s="6">
        <f t="shared" si="13"/>
        <v>0.18271546891515977</v>
      </c>
    </row>
    <row r="121" spans="1:17" x14ac:dyDescent="0.25">
      <c r="A121" s="3">
        <v>120</v>
      </c>
      <c r="B121" s="3" t="s">
        <v>20</v>
      </c>
      <c r="C121" s="3" t="s">
        <v>21</v>
      </c>
      <c r="D121" s="3" t="s">
        <v>102</v>
      </c>
      <c r="E121" s="3">
        <v>12</v>
      </c>
      <c r="F121" s="3">
        <v>2024</v>
      </c>
      <c r="G121" s="9" t="s">
        <v>101</v>
      </c>
      <c r="H121" s="3">
        <v>8206</v>
      </c>
      <c r="I121" s="3">
        <v>8052</v>
      </c>
      <c r="J121" s="3">
        <v>154</v>
      </c>
      <c r="K121" s="3">
        <v>1.9</v>
      </c>
      <c r="L121" s="3" t="s">
        <v>83</v>
      </c>
      <c r="M121">
        <f t="shared" si="15"/>
        <v>6541.333333333333</v>
      </c>
      <c r="N121">
        <f t="shared" si="14"/>
        <v>6552.9531766000418</v>
      </c>
      <c r="O121">
        <f t="shared" si="11"/>
        <v>154</v>
      </c>
      <c r="P121" s="6">
        <f t="shared" si="12"/>
        <v>1.876675603217158E-2</v>
      </c>
      <c r="Q121" s="6">
        <f t="shared" si="13"/>
        <v>0.20144367821105996</v>
      </c>
    </row>
    <row r="122" spans="1:17" x14ac:dyDescent="0.25">
      <c r="A122" s="2">
        <v>121</v>
      </c>
      <c r="B122" s="2" t="s">
        <v>20</v>
      </c>
      <c r="C122" s="2" t="s">
        <v>21</v>
      </c>
      <c r="D122" s="2" t="s">
        <v>103</v>
      </c>
      <c r="E122" s="2">
        <v>1</v>
      </c>
      <c r="F122" s="2">
        <v>2023</v>
      </c>
      <c r="G122" s="8" t="s">
        <v>75</v>
      </c>
      <c r="H122" s="2">
        <v>5819</v>
      </c>
      <c r="I122" s="2">
        <v>6314</v>
      </c>
      <c r="J122" s="2">
        <v>-495</v>
      </c>
      <c r="K122" s="2">
        <v>8.5</v>
      </c>
      <c r="L122" s="2" t="s">
        <v>78</v>
      </c>
      <c r="M122">
        <f t="shared" si="15"/>
        <v>7562</v>
      </c>
      <c r="N122">
        <f t="shared" si="14"/>
        <v>7048.8672236200291</v>
      </c>
      <c r="O122">
        <f t="shared" si="11"/>
        <v>495</v>
      </c>
      <c r="P122" s="6">
        <f t="shared" si="12"/>
        <v>8.5066162570888462E-2</v>
      </c>
      <c r="Q122" s="6">
        <f t="shared" si="13"/>
        <v>0.21135370744458312</v>
      </c>
    </row>
    <row r="123" spans="1:17" x14ac:dyDescent="0.25">
      <c r="A123" s="3">
        <v>122</v>
      </c>
      <c r="B123" s="3" t="s">
        <v>20</v>
      </c>
      <c r="C123" s="3" t="s">
        <v>21</v>
      </c>
      <c r="D123" s="3" t="s">
        <v>103</v>
      </c>
      <c r="E123" s="3">
        <v>2</v>
      </c>
      <c r="F123" s="3">
        <v>2023</v>
      </c>
      <c r="G123" s="9" t="s">
        <v>77</v>
      </c>
      <c r="H123" s="3">
        <v>5760</v>
      </c>
      <c r="I123" s="3">
        <v>6308</v>
      </c>
      <c r="J123" s="3">
        <v>-548</v>
      </c>
      <c r="K123" s="3">
        <v>9.5</v>
      </c>
      <c r="L123" s="3" t="s">
        <v>78</v>
      </c>
      <c r="M123">
        <f t="shared" si="15"/>
        <v>7179.666666666667</v>
      </c>
      <c r="N123">
        <f t="shared" si="14"/>
        <v>6679.9070565340198</v>
      </c>
      <c r="O123">
        <f t="shared" si="11"/>
        <v>548</v>
      </c>
      <c r="P123" s="6">
        <f t="shared" si="12"/>
        <v>9.5138888888888884E-2</v>
      </c>
      <c r="Q123" s="6">
        <f t="shared" si="13"/>
        <v>0.1597060862038229</v>
      </c>
    </row>
    <row r="124" spans="1:17" x14ac:dyDescent="0.25">
      <c r="A124" s="2">
        <v>123</v>
      </c>
      <c r="B124" s="2" t="s">
        <v>20</v>
      </c>
      <c r="C124" s="2" t="s">
        <v>21</v>
      </c>
      <c r="D124" s="2" t="s">
        <v>103</v>
      </c>
      <c r="E124" s="2">
        <v>3</v>
      </c>
      <c r="F124" s="2">
        <v>2023</v>
      </c>
      <c r="G124" s="8" t="s">
        <v>79</v>
      </c>
      <c r="H124" s="2">
        <v>6698</v>
      </c>
      <c r="I124" s="2">
        <v>6061</v>
      </c>
      <c r="J124" s="2">
        <v>637</v>
      </c>
      <c r="K124" s="2">
        <v>9.5</v>
      </c>
      <c r="L124" s="2" t="s">
        <v>83</v>
      </c>
      <c r="M124">
        <f t="shared" si="15"/>
        <v>6595</v>
      </c>
      <c r="N124">
        <f t="shared" si="14"/>
        <v>6403.9349395738136</v>
      </c>
      <c r="O124">
        <f t="shared" si="11"/>
        <v>637</v>
      </c>
      <c r="P124" s="6">
        <f t="shared" si="12"/>
        <v>9.5103015825619586E-2</v>
      </c>
      <c r="Q124" s="6">
        <f t="shared" si="13"/>
        <v>4.3903413022721167E-2</v>
      </c>
    </row>
    <row r="125" spans="1:17" x14ac:dyDescent="0.25">
      <c r="A125" s="3">
        <v>124</v>
      </c>
      <c r="B125" s="3" t="s">
        <v>20</v>
      </c>
      <c r="C125" s="3" t="s">
        <v>21</v>
      </c>
      <c r="D125" s="3" t="s">
        <v>103</v>
      </c>
      <c r="E125" s="3">
        <v>4</v>
      </c>
      <c r="F125" s="3">
        <v>2023</v>
      </c>
      <c r="G125" s="9" t="s">
        <v>80</v>
      </c>
      <c r="H125" s="3">
        <v>7118</v>
      </c>
      <c r="I125" s="3">
        <v>7520</v>
      </c>
      <c r="J125" s="3">
        <v>-402</v>
      </c>
      <c r="K125" s="3">
        <v>5.6</v>
      </c>
      <c r="L125" s="3" t="s">
        <v>76</v>
      </c>
      <c r="M125">
        <f t="shared" si="15"/>
        <v>6092.333333333333</v>
      </c>
      <c r="N125">
        <f t="shared" si="14"/>
        <v>6492.1544577016684</v>
      </c>
      <c r="O125">
        <f t="shared" si="11"/>
        <v>402</v>
      </c>
      <c r="P125" s="6">
        <f t="shared" si="12"/>
        <v>5.6476538353470079E-2</v>
      </c>
      <c r="Q125" s="6">
        <f t="shared" si="13"/>
        <v>8.7924352669054726E-2</v>
      </c>
    </row>
    <row r="126" spans="1:17" x14ac:dyDescent="0.25">
      <c r="A126" s="2">
        <v>125</v>
      </c>
      <c r="B126" s="2" t="s">
        <v>20</v>
      </c>
      <c r="C126" s="2" t="s">
        <v>21</v>
      </c>
      <c r="D126" s="2" t="s">
        <v>103</v>
      </c>
      <c r="E126" s="2">
        <v>5</v>
      </c>
      <c r="F126" s="2">
        <v>2023</v>
      </c>
      <c r="G126" s="8" t="s">
        <v>81</v>
      </c>
      <c r="H126" s="2">
        <v>7275</v>
      </c>
      <c r="I126" s="2">
        <v>7804</v>
      </c>
      <c r="J126" s="2">
        <v>-529</v>
      </c>
      <c r="K126" s="2">
        <v>7.3</v>
      </c>
      <c r="L126" s="2" t="s">
        <v>78</v>
      </c>
      <c r="M126">
        <f t="shared" si="15"/>
        <v>6525.333333333333</v>
      </c>
      <c r="N126">
        <f t="shared" si="14"/>
        <v>6679.9081203911683</v>
      </c>
      <c r="O126">
        <f t="shared" si="11"/>
        <v>529</v>
      </c>
      <c r="P126" s="6">
        <f t="shared" si="12"/>
        <v>7.27147766323024E-2</v>
      </c>
      <c r="Q126" s="6">
        <f t="shared" si="13"/>
        <v>8.1799571080251779E-2</v>
      </c>
    </row>
    <row r="127" spans="1:17" x14ac:dyDescent="0.25">
      <c r="A127" s="3">
        <v>126</v>
      </c>
      <c r="B127" s="3" t="s">
        <v>20</v>
      </c>
      <c r="C127" s="3" t="s">
        <v>21</v>
      </c>
      <c r="D127" s="3" t="s">
        <v>103</v>
      </c>
      <c r="E127" s="3">
        <v>6</v>
      </c>
      <c r="F127" s="3">
        <v>2023</v>
      </c>
      <c r="G127" s="9" t="s">
        <v>82</v>
      </c>
      <c r="H127" s="3">
        <v>6708</v>
      </c>
      <c r="I127" s="3">
        <v>7093</v>
      </c>
      <c r="J127" s="3">
        <v>-385</v>
      </c>
      <c r="K127" s="3">
        <v>5.7</v>
      </c>
      <c r="L127" s="3" t="s">
        <v>78</v>
      </c>
      <c r="M127">
        <f t="shared" si="15"/>
        <v>7030.333333333333</v>
      </c>
      <c r="N127">
        <f t="shared" si="14"/>
        <v>6858.4356842738171</v>
      </c>
      <c r="O127">
        <f t="shared" si="11"/>
        <v>385</v>
      </c>
      <c r="P127" s="6">
        <f t="shared" si="12"/>
        <v>5.7394156231365533E-2</v>
      </c>
      <c r="Q127" s="6">
        <f t="shared" si="13"/>
        <v>2.2426309522035937E-2</v>
      </c>
    </row>
    <row r="128" spans="1:17" x14ac:dyDescent="0.25">
      <c r="A128" s="2">
        <v>127</v>
      </c>
      <c r="B128" s="2" t="s">
        <v>20</v>
      </c>
      <c r="C128" s="2" t="s">
        <v>21</v>
      </c>
      <c r="D128" s="2" t="s">
        <v>103</v>
      </c>
      <c r="E128" s="2">
        <v>7</v>
      </c>
      <c r="F128" s="2">
        <v>2023</v>
      </c>
      <c r="G128" s="8" t="s">
        <v>84</v>
      </c>
      <c r="H128" s="2">
        <v>6780</v>
      </c>
      <c r="I128" s="2">
        <v>6154</v>
      </c>
      <c r="J128" s="2">
        <v>626</v>
      </c>
      <c r="K128" s="2">
        <v>9.1999999999999993</v>
      </c>
      <c r="L128" s="2" t="s">
        <v>76</v>
      </c>
      <c r="M128">
        <f t="shared" si="15"/>
        <v>7033.666666666667</v>
      </c>
      <c r="N128">
        <f t="shared" si="14"/>
        <v>6813.3049789916713</v>
      </c>
      <c r="O128">
        <f t="shared" si="11"/>
        <v>626</v>
      </c>
      <c r="P128" s="6">
        <f t="shared" si="12"/>
        <v>9.2330383480825964E-2</v>
      </c>
      <c r="Q128" s="6">
        <f t="shared" si="13"/>
        <v>4.9122387893320513E-3</v>
      </c>
    </row>
    <row r="129" spans="1:17" x14ac:dyDescent="0.25">
      <c r="A129" s="3">
        <v>128</v>
      </c>
      <c r="B129" s="3" t="s">
        <v>20</v>
      </c>
      <c r="C129" s="3" t="s">
        <v>21</v>
      </c>
      <c r="D129" s="3" t="s">
        <v>103</v>
      </c>
      <c r="E129" s="3">
        <v>8</v>
      </c>
      <c r="F129" s="3">
        <v>2023</v>
      </c>
      <c r="G129" s="9" t="s">
        <v>85</v>
      </c>
      <c r="H129" s="3">
        <v>6331</v>
      </c>
      <c r="I129" s="3">
        <v>6731</v>
      </c>
      <c r="J129" s="3">
        <v>-400</v>
      </c>
      <c r="K129" s="3">
        <v>6.3</v>
      </c>
      <c r="L129" s="3" t="s">
        <v>76</v>
      </c>
      <c r="M129">
        <f t="shared" si="15"/>
        <v>6921</v>
      </c>
      <c r="N129">
        <f t="shared" si="14"/>
        <v>6803.3134852941694</v>
      </c>
      <c r="O129">
        <f t="shared" si="11"/>
        <v>400</v>
      </c>
      <c r="P129" s="6">
        <f t="shared" si="12"/>
        <v>6.3181172010740805E-2</v>
      </c>
      <c r="Q129" s="6">
        <f t="shared" si="13"/>
        <v>7.4603298893408526E-2</v>
      </c>
    </row>
    <row r="130" spans="1:17" x14ac:dyDescent="0.25">
      <c r="A130" s="2">
        <v>129</v>
      </c>
      <c r="B130" s="2" t="s">
        <v>20</v>
      </c>
      <c r="C130" s="2" t="s">
        <v>21</v>
      </c>
      <c r="D130" s="2" t="s">
        <v>103</v>
      </c>
      <c r="E130" s="2">
        <v>9</v>
      </c>
      <c r="F130" s="2">
        <v>2023</v>
      </c>
      <c r="G130" s="8" t="s">
        <v>86</v>
      </c>
      <c r="H130" s="2">
        <v>6226</v>
      </c>
      <c r="I130" s="2">
        <v>6625</v>
      </c>
      <c r="J130" s="2">
        <v>-399</v>
      </c>
      <c r="K130" s="2">
        <v>6.4</v>
      </c>
      <c r="L130" s="2" t="s">
        <v>78</v>
      </c>
      <c r="M130">
        <f t="shared" si="15"/>
        <v>6606.333333333333</v>
      </c>
      <c r="N130">
        <f t="shared" si="14"/>
        <v>6661.619439705918</v>
      </c>
      <c r="O130">
        <f t="shared" si="11"/>
        <v>399</v>
      </c>
      <c r="P130" s="6">
        <f t="shared" si="12"/>
        <v>6.4086090587857372E-2</v>
      </c>
      <c r="Q130" s="6">
        <f t="shared" si="13"/>
        <v>6.9967786653697073E-2</v>
      </c>
    </row>
    <row r="131" spans="1:17" x14ac:dyDescent="0.25">
      <c r="A131" s="3">
        <v>130</v>
      </c>
      <c r="B131" s="3" t="s">
        <v>20</v>
      </c>
      <c r="C131" s="3" t="s">
        <v>21</v>
      </c>
      <c r="D131" s="3" t="s">
        <v>103</v>
      </c>
      <c r="E131" s="3">
        <v>10</v>
      </c>
      <c r="F131" s="3">
        <v>2023</v>
      </c>
      <c r="G131" s="9" t="s">
        <v>87</v>
      </c>
      <c r="H131" s="3">
        <v>6633</v>
      </c>
      <c r="I131" s="3">
        <v>6845</v>
      </c>
      <c r="J131" s="3">
        <v>-212</v>
      </c>
      <c r="K131" s="3">
        <v>3.2</v>
      </c>
      <c r="L131" s="3" t="s">
        <v>76</v>
      </c>
      <c r="M131">
        <f t="shared" si="15"/>
        <v>6445.666666666667</v>
      </c>
      <c r="N131">
        <f t="shared" si="14"/>
        <v>6530.9336077941425</v>
      </c>
      <c r="O131">
        <f t="shared" ref="O131:O194" si="16">ABS(H131-I131)</f>
        <v>212</v>
      </c>
      <c r="P131" s="6">
        <f t="shared" ref="P131:P194" si="17">ABS(O131)/H131</f>
        <v>3.1961405095733454E-2</v>
      </c>
      <c r="Q131" s="6">
        <f t="shared" ref="Q131:Q194" si="18">ABS((H131-N131))/H131</f>
        <v>1.5387666546940673E-2</v>
      </c>
    </row>
    <row r="132" spans="1:17" x14ac:dyDescent="0.25">
      <c r="A132" s="2">
        <v>131</v>
      </c>
      <c r="B132" s="2" t="s">
        <v>20</v>
      </c>
      <c r="C132" s="2" t="s">
        <v>21</v>
      </c>
      <c r="D132" s="2" t="s">
        <v>103</v>
      </c>
      <c r="E132" s="2">
        <v>11</v>
      </c>
      <c r="F132" s="2">
        <v>2023</v>
      </c>
      <c r="G132" s="8" t="s">
        <v>88</v>
      </c>
      <c r="H132" s="2">
        <v>7742</v>
      </c>
      <c r="I132" s="2">
        <v>8306</v>
      </c>
      <c r="J132" s="2">
        <v>-564</v>
      </c>
      <c r="K132" s="2">
        <v>7.3</v>
      </c>
      <c r="L132" s="2" t="s">
        <v>76</v>
      </c>
      <c r="M132">
        <f t="shared" si="15"/>
        <v>6396.666666666667</v>
      </c>
      <c r="N132">
        <f t="shared" ref="N132:N195" si="19">0.3*H131+(0.7*N131)</f>
        <v>6561.553525455899</v>
      </c>
      <c r="O132">
        <f t="shared" si="16"/>
        <v>564</v>
      </c>
      <c r="P132" s="6">
        <f t="shared" si="17"/>
        <v>7.2849392921725653E-2</v>
      </c>
      <c r="Q132" s="6">
        <f t="shared" si="18"/>
        <v>0.15247306568639898</v>
      </c>
    </row>
    <row r="133" spans="1:17" x14ac:dyDescent="0.25">
      <c r="A133" s="3">
        <v>132</v>
      </c>
      <c r="B133" s="3" t="s">
        <v>20</v>
      </c>
      <c r="C133" s="3" t="s">
        <v>21</v>
      </c>
      <c r="D133" s="3" t="s">
        <v>103</v>
      </c>
      <c r="E133" s="3">
        <v>12</v>
      </c>
      <c r="F133" s="3">
        <v>2023</v>
      </c>
      <c r="G133" s="9" t="s">
        <v>89</v>
      </c>
      <c r="H133" s="3">
        <v>8097</v>
      </c>
      <c r="I133" s="3">
        <v>8112</v>
      </c>
      <c r="J133" s="3">
        <v>-15</v>
      </c>
      <c r="K133" s="3">
        <v>0.2</v>
      </c>
      <c r="L133" s="3" t="s">
        <v>83</v>
      </c>
      <c r="M133">
        <f t="shared" si="15"/>
        <v>6867</v>
      </c>
      <c r="N133">
        <f t="shared" si="19"/>
        <v>6915.6874678191289</v>
      </c>
      <c r="O133">
        <f t="shared" si="16"/>
        <v>15</v>
      </c>
      <c r="P133" s="6">
        <f t="shared" si="17"/>
        <v>1.8525379770285291E-3</v>
      </c>
      <c r="Q133" s="6">
        <f t="shared" si="18"/>
        <v>0.14589508857365335</v>
      </c>
    </row>
    <row r="134" spans="1:17" x14ac:dyDescent="0.25">
      <c r="A134" s="2">
        <v>133</v>
      </c>
      <c r="B134" s="2" t="s">
        <v>20</v>
      </c>
      <c r="C134" s="2" t="s">
        <v>21</v>
      </c>
      <c r="D134" s="2" t="s">
        <v>103</v>
      </c>
      <c r="E134" s="2">
        <v>1</v>
      </c>
      <c r="F134" s="2">
        <v>2024</v>
      </c>
      <c r="G134" s="8" t="s">
        <v>90</v>
      </c>
      <c r="H134" s="2">
        <v>6125</v>
      </c>
      <c r="I134" s="2">
        <v>6169</v>
      </c>
      <c r="J134" s="2">
        <v>-44</v>
      </c>
      <c r="K134" s="2">
        <v>0.7</v>
      </c>
      <c r="L134" s="2" t="s">
        <v>78</v>
      </c>
      <c r="M134">
        <f t="shared" ref="M134:M197" si="20">AVERAGE(H131:H133)</f>
        <v>7490.666666666667</v>
      </c>
      <c r="N134">
        <f t="shared" si="19"/>
        <v>7270.0812274733889</v>
      </c>
      <c r="O134">
        <f t="shared" si="16"/>
        <v>44</v>
      </c>
      <c r="P134" s="6">
        <f t="shared" si="17"/>
        <v>7.183673469387755E-3</v>
      </c>
      <c r="Q134" s="6">
        <f t="shared" si="18"/>
        <v>0.18695203713851247</v>
      </c>
    </row>
    <row r="135" spans="1:17" x14ac:dyDescent="0.25">
      <c r="A135" s="3">
        <v>134</v>
      </c>
      <c r="B135" s="3" t="s">
        <v>20</v>
      </c>
      <c r="C135" s="3" t="s">
        <v>21</v>
      </c>
      <c r="D135" s="3" t="s">
        <v>103</v>
      </c>
      <c r="E135" s="3">
        <v>2</v>
      </c>
      <c r="F135" s="3">
        <v>2024</v>
      </c>
      <c r="G135" s="9" t="s">
        <v>91</v>
      </c>
      <c r="H135" s="3">
        <v>4808</v>
      </c>
      <c r="I135" s="3">
        <v>5260</v>
      </c>
      <c r="J135" s="3">
        <v>-452</v>
      </c>
      <c r="K135" s="3">
        <v>9.4</v>
      </c>
      <c r="L135" s="3" t="s">
        <v>78</v>
      </c>
      <c r="M135">
        <f t="shared" si="20"/>
        <v>7321.333333333333</v>
      </c>
      <c r="N135">
        <f t="shared" si="19"/>
        <v>6926.5568592313721</v>
      </c>
      <c r="O135">
        <f t="shared" si="16"/>
        <v>452</v>
      </c>
      <c r="P135" s="6">
        <f t="shared" si="17"/>
        <v>9.4009983361064892E-2</v>
      </c>
      <c r="Q135" s="6">
        <f t="shared" si="18"/>
        <v>0.44063162629604247</v>
      </c>
    </row>
    <row r="136" spans="1:17" x14ac:dyDescent="0.25">
      <c r="A136" s="2">
        <v>135</v>
      </c>
      <c r="B136" s="2" t="s">
        <v>20</v>
      </c>
      <c r="C136" s="2" t="s">
        <v>21</v>
      </c>
      <c r="D136" s="2" t="s">
        <v>103</v>
      </c>
      <c r="E136" s="2">
        <v>3</v>
      </c>
      <c r="F136" s="2">
        <v>2024</v>
      </c>
      <c r="G136" s="8" t="s">
        <v>92</v>
      </c>
      <c r="H136" s="2">
        <v>6255</v>
      </c>
      <c r="I136" s="2">
        <v>6859</v>
      </c>
      <c r="J136" s="2">
        <v>-604</v>
      </c>
      <c r="K136" s="2">
        <v>9.6999999999999993</v>
      </c>
      <c r="L136" s="2" t="s">
        <v>78</v>
      </c>
      <c r="M136">
        <f t="shared" si="20"/>
        <v>6343.333333333333</v>
      </c>
      <c r="N136">
        <f t="shared" si="19"/>
        <v>6290.9898014619594</v>
      </c>
      <c r="O136">
        <f t="shared" si="16"/>
        <v>604</v>
      </c>
      <c r="P136" s="6">
        <f t="shared" si="17"/>
        <v>9.6562749800159872E-2</v>
      </c>
      <c r="Q136" s="6">
        <f t="shared" si="18"/>
        <v>5.7537652217361087E-3</v>
      </c>
    </row>
    <row r="137" spans="1:17" x14ac:dyDescent="0.25">
      <c r="A137" s="3">
        <v>136</v>
      </c>
      <c r="B137" s="3" t="s">
        <v>20</v>
      </c>
      <c r="C137" s="3" t="s">
        <v>21</v>
      </c>
      <c r="D137" s="3" t="s">
        <v>103</v>
      </c>
      <c r="E137" s="3">
        <v>4</v>
      </c>
      <c r="F137" s="3">
        <v>2024</v>
      </c>
      <c r="G137" s="9" t="s">
        <v>93</v>
      </c>
      <c r="H137" s="3">
        <v>5852</v>
      </c>
      <c r="I137" s="3">
        <v>5775</v>
      </c>
      <c r="J137" s="3">
        <v>77</v>
      </c>
      <c r="K137" s="3">
        <v>1.3</v>
      </c>
      <c r="L137" s="3" t="s">
        <v>83</v>
      </c>
      <c r="M137">
        <f t="shared" si="20"/>
        <v>5729.333333333333</v>
      </c>
      <c r="N137">
        <f t="shared" si="19"/>
        <v>6280.1928610233708</v>
      </c>
      <c r="O137">
        <f t="shared" si="16"/>
        <v>77</v>
      </c>
      <c r="P137" s="6">
        <f t="shared" si="17"/>
        <v>1.3157894736842105E-2</v>
      </c>
      <c r="Q137" s="6">
        <f t="shared" si="18"/>
        <v>7.3170345356010053E-2</v>
      </c>
    </row>
    <row r="138" spans="1:17" x14ac:dyDescent="0.25">
      <c r="A138" s="2">
        <v>137</v>
      </c>
      <c r="B138" s="2" t="s">
        <v>20</v>
      </c>
      <c r="C138" s="2" t="s">
        <v>21</v>
      </c>
      <c r="D138" s="2" t="s">
        <v>103</v>
      </c>
      <c r="E138" s="2">
        <v>5</v>
      </c>
      <c r="F138" s="2">
        <v>2024</v>
      </c>
      <c r="G138" s="8" t="s">
        <v>94</v>
      </c>
      <c r="H138" s="2">
        <v>7249</v>
      </c>
      <c r="I138" s="2">
        <v>7156</v>
      </c>
      <c r="J138" s="2">
        <v>93</v>
      </c>
      <c r="K138" s="2">
        <v>1.3</v>
      </c>
      <c r="L138" s="2" t="s">
        <v>83</v>
      </c>
      <c r="M138">
        <f t="shared" si="20"/>
        <v>5638.333333333333</v>
      </c>
      <c r="N138">
        <f t="shared" si="19"/>
        <v>6151.7350027163593</v>
      </c>
      <c r="O138">
        <f t="shared" si="16"/>
        <v>93</v>
      </c>
      <c r="P138" s="6">
        <f t="shared" si="17"/>
        <v>1.2829355773210097E-2</v>
      </c>
      <c r="Q138" s="6">
        <f t="shared" si="18"/>
        <v>0.15136777449077676</v>
      </c>
    </row>
    <row r="139" spans="1:17" x14ac:dyDescent="0.25">
      <c r="A139" s="3">
        <v>138</v>
      </c>
      <c r="B139" s="3" t="s">
        <v>20</v>
      </c>
      <c r="C139" s="3" t="s">
        <v>21</v>
      </c>
      <c r="D139" s="3" t="s">
        <v>103</v>
      </c>
      <c r="E139" s="3">
        <v>6</v>
      </c>
      <c r="F139" s="3">
        <v>2024</v>
      </c>
      <c r="G139" s="9" t="s">
        <v>95</v>
      </c>
      <c r="H139" s="3">
        <v>6450</v>
      </c>
      <c r="I139" s="3">
        <v>6965</v>
      </c>
      <c r="J139" s="3">
        <v>-515</v>
      </c>
      <c r="K139" s="3">
        <v>8</v>
      </c>
      <c r="L139" s="3" t="s">
        <v>78</v>
      </c>
      <c r="M139">
        <f t="shared" si="20"/>
        <v>6452</v>
      </c>
      <c r="N139">
        <f t="shared" si="19"/>
        <v>6480.9145019014513</v>
      </c>
      <c r="O139">
        <f t="shared" si="16"/>
        <v>515</v>
      </c>
      <c r="P139" s="6">
        <f t="shared" si="17"/>
        <v>7.9844961240310083E-2</v>
      </c>
      <c r="Q139" s="6">
        <f t="shared" si="18"/>
        <v>4.7929460312327648E-3</v>
      </c>
    </row>
    <row r="140" spans="1:17" x14ac:dyDescent="0.25">
      <c r="A140" s="2">
        <v>139</v>
      </c>
      <c r="B140" s="2" t="s">
        <v>20</v>
      </c>
      <c r="C140" s="2" t="s">
        <v>21</v>
      </c>
      <c r="D140" s="2" t="s">
        <v>103</v>
      </c>
      <c r="E140" s="2">
        <v>7</v>
      </c>
      <c r="F140" s="2">
        <v>2024</v>
      </c>
      <c r="G140" s="8" t="s">
        <v>96</v>
      </c>
      <c r="H140" s="2">
        <v>6566</v>
      </c>
      <c r="I140" s="2">
        <v>6840</v>
      </c>
      <c r="J140" s="2">
        <v>-274</v>
      </c>
      <c r="K140" s="2">
        <v>4.2</v>
      </c>
      <c r="L140" s="2" t="s">
        <v>78</v>
      </c>
      <c r="M140">
        <f t="shared" si="20"/>
        <v>6517</v>
      </c>
      <c r="N140">
        <f t="shared" si="19"/>
        <v>6471.6401513310157</v>
      </c>
      <c r="O140">
        <f t="shared" si="16"/>
        <v>274</v>
      </c>
      <c r="P140" s="6">
        <f t="shared" si="17"/>
        <v>4.1730124885775204E-2</v>
      </c>
      <c r="Q140" s="6">
        <f t="shared" si="18"/>
        <v>1.4370979084523963E-2</v>
      </c>
    </row>
    <row r="141" spans="1:17" x14ac:dyDescent="0.25">
      <c r="A141" s="3">
        <v>140</v>
      </c>
      <c r="B141" s="3" t="s">
        <v>20</v>
      </c>
      <c r="C141" s="3" t="s">
        <v>21</v>
      </c>
      <c r="D141" s="3" t="s">
        <v>103</v>
      </c>
      <c r="E141" s="3">
        <v>8</v>
      </c>
      <c r="F141" s="3">
        <v>2024</v>
      </c>
      <c r="G141" s="9" t="s">
        <v>97</v>
      </c>
      <c r="H141" s="3">
        <v>6815</v>
      </c>
      <c r="I141" s="3">
        <v>7232</v>
      </c>
      <c r="J141" s="3">
        <v>-417</v>
      </c>
      <c r="K141" s="3">
        <v>6.1</v>
      </c>
      <c r="L141" s="3" t="s">
        <v>83</v>
      </c>
      <c r="M141">
        <f t="shared" si="20"/>
        <v>6755</v>
      </c>
      <c r="N141">
        <f t="shared" si="19"/>
        <v>6499.9481059317104</v>
      </c>
      <c r="O141">
        <f t="shared" si="16"/>
        <v>417</v>
      </c>
      <c r="P141" s="6">
        <f t="shared" si="17"/>
        <v>6.1188554658840794E-2</v>
      </c>
      <c r="Q141" s="6">
        <f t="shared" si="18"/>
        <v>4.6229184749565604E-2</v>
      </c>
    </row>
    <row r="142" spans="1:17" x14ac:dyDescent="0.25">
      <c r="A142" s="2">
        <v>141</v>
      </c>
      <c r="B142" s="2" t="s">
        <v>20</v>
      </c>
      <c r="C142" s="2" t="s">
        <v>21</v>
      </c>
      <c r="D142" s="2" t="s">
        <v>103</v>
      </c>
      <c r="E142" s="2">
        <v>9</v>
      </c>
      <c r="F142" s="2">
        <v>2024</v>
      </c>
      <c r="G142" s="8" t="s">
        <v>98</v>
      </c>
      <c r="H142" s="2">
        <v>6800</v>
      </c>
      <c r="I142" s="2">
        <v>7129</v>
      </c>
      <c r="J142" s="2">
        <v>-329</v>
      </c>
      <c r="K142" s="2">
        <v>4.8</v>
      </c>
      <c r="L142" s="2" t="s">
        <v>83</v>
      </c>
      <c r="M142">
        <f t="shared" si="20"/>
        <v>6610.333333333333</v>
      </c>
      <c r="N142">
        <f t="shared" si="19"/>
        <v>6594.4636741521972</v>
      </c>
      <c r="O142">
        <f t="shared" si="16"/>
        <v>329</v>
      </c>
      <c r="P142" s="6">
        <f t="shared" si="17"/>
        <v>4.8382352941176474E-2</v>
      </c>
      <c r="Q142" s="6">
        <f t="shared" si="18"/>
        <v>3.0225930271735705E-2</v>
      </c>
    </row>
    <row r="143" spans="1:17" x14ac:dyDescent="0.25">
      <c r="A143" s="3">
        <v>142</v>
      </c>
      <c r="B143" s="3" t="s">
        <v>20</v>
      </c>
      <c r="C143" s="3" t="s">
        <v>21</v>
      </c>
      <c r="D143" s="3" t="s">
        <v>103</v>
      </c>
      <c r="E143" s="3">
        <v>10</v>
      </c>
      <c r="F143" s="3">
        <v>2024</v>
      </c>
      <c r="G143" s="9" t="s">
        <v>99</v>
      </c>
      <c r="H143" s="3">
        <v>6589</v>
      </c>
      <c r="I143" s="3">
        <v>6498</v>
      </c>
      <c r="J143" s="3">
        <v>91</v>
      </c>
      <c r="K143" s="3">
        <v>1.4</v>
      </c>
      <c r="L143" s="3" t="s">
        <v>83</v>
      </c>
      <c r="M143">
        <f t="shared" si="20"/>
        <v>6727</v>
      </c>
      <c r="N143">
        <f t="shared" si="19"/>
        <v>6656.1245719065373</v>
      </c>
      <c r="O143">
        <f t="shared" si="16"/>
        <v>91</v>
      </c>
      <c r="P143" s="6">
        <f t="shared" si="17"/>
        <v>1.3810896949461223E-2</v>
      </c>
      <c r="Q143" s="6">
        <f t="shared" si="18"/>
        <v>1.0187368630526227E-2</v>
      </c>
    </row>
    <row r="144" spans="1:17" x14ac:dyDescent="0.25">
      <c r="A144" s="2">
        <v>143</v>
      </c>
      <c r="B144" s="2" t="s">
        <v>20</v>
      </c>
      <c r="C144" s="2" t="s">
        <v>21</v>
      </c>
      <c r="D144" s="2" t="s">
        <v>103</v>
      </c>
      <c r="E144" s="2">
        <v>11</v>
      </c>
      <c r="F144" s="2">
        <v>2024</v>
      </c>
      <c r="G144" s="8" t="s">
        <v>100</v>
      </c>
      <c r="H144" s="2">
        <v>8890</v>
      </c>
      <c r="I144" s="2">
        <v>9108</v>
      </c>
      <c r="J144" s="2">
        <v>-218</v>
      </c>
      <c r="K144" s="2">
        <v>2.5</v>
      </c>
      <c r="L144" s="2" t="s">
        <v>83</v>
      </c>
      <c r="M144">
        <f t="shared" si="20"/>
        <v>6734.666666666667</v>
      </c>
      <c r="N144">
        <f t="shared" si="19"/>
        <v>6635.9872003345754</v>
      </c>
      <c r="O144">
        <f t="shared" si="16"/>
        <v>218</v>
      </c>
      <c r="P144" s="6">
        <f t="shared" si="17"/>
        <v>2.4521934758155232E-2</v>
      </c>
      <c r="Q144" s="6">
        <f t="shared" si="18"/>
        <v>0.25354474686900164</v>
      </c>
    </row>
    <row r="145" spans="1:17" x14ac:dyDescent="0.25">
      <c r="A145" s="3">
        <v>144</v>
      </c>
      <c r="B145" s="3" t="s">
        <v>20</v>
      </c>
      <c r="C145" s="3" t="s">
        <v>21</v>
      </c>
      <c r="D145" s="3" t="s">
        <v>103</v>
      </c>
      <c r="E145" s="3">
        <v>12</v>
      </c>
      <c r="F145" s="3">
        <v>2024</v>
      </c>
      <c r="G145" s="9" t="s">
        <v>101</v>
      </c>
      <c r="H145" s="3">
        <v>9099</v>
      </c>
      <c r="I145" s="3">
        <v>9498</v>
      </c>
      <c r="J145" s="3">
        <v>-399</v>
      </c>
      <c r="K145" s="3">
        <v>4.4000000000000004</v>
      </c>
      <c r="L145" s="3" t="s">
        <v>76</v>
      </c>
      <c r="M145">
        <f t="shared" si="20"/>
        <v>7426.333333333333</v>
      </c>
      <c r="N145">
        <f t="shared" si="19"/>
        <v>7312.1910402342028</v>
      </c>
      <c r="O145">
        <f t="shared" si="16"/>
        <v>399</v>
      </c>
      <c r="P145" s="6">
        <f t="shared" si="17"/>
        <v>4.3850972634355424E-2</v>
      </c>
      <c r="Q145" s="6">
        <f t="shared" si="18"/>
        <v>0.19637421252509035</v>
      </c>
    </row>
    <row r="146" spans="1:17" x14ac:dyDescent="0.25">
      <c r="A146" s="2">
        <v>145</v>
      </c>
      <c r="B146" s="2" t="s">
        <v>22</v>
      </c>
      <c r="C146" s="2" t="s">
        <v>23</v>
      </c>
      <c r="D146" s="2" t="s">
        <v>74</v>
      </c>
      <c r="E146" s="2">
        <v>1</v>
      </c>
      <c r="F146" s="2">
        <v>2023</v>
      </c>
      <c r="G146" s="8" t="s">
        <v>75</v>
      </c>
      <c r="H146" s="2">
        <v>8088</v>
      </c>
      <c r="I146" s="2">
        <v>8357</v>
      </c>
      <c r="J146" s="2">
        <v>-269</v>
      </c>
      <c r="K146" s="2">
        <v>3.3</v>
      </c>
      <c r="L146" s="2" t="s">
        <v>76</v>
      </c>
      <c r="M146">
        <f t="shared" si="20"/>
        <v>8192.6666666666661</v>
      </c>
      <c r="N146">
        <f t="shared" si="19"/>
        <v>7848.2337281639411</v>
      </c>
      <c r="O146">
        <f t="shared" si="16"/>
        <v>269</v>
      </c>
      <c r="P146" s="6">
        <f t="shared" si="17"/>
        <v>3.3259149357072207E-2</v>
      </c>
      <c r="Q146" s="6">
        <f t="shared" si="18"/>
        <v>2.9644692363508762E-2</v>
      </c>
    </row>
    <row r="147" spans="1:17" x14ac:dyDescent="0.25">
      <c r="A147" s="3">
        <v>146</v>
      </c>
      <c r="B147" s="3" t="s">
        <v>22</v>
      </c>
      <c r="C147" s="3" t="s">
        <v>23</v>
      </c>
      <c r="D147" s="3" t="s">
        <v>74</v>
      </c>
      <c r="E147" s="3">
        <v>2</v>
      </c>
      <c r="F147" s="3">
        <v>2023</v>
      </c>
      <c r="G147" s="9" t="s">
        <v>77</v>
      </c>
      <c r="H147" s="3">
        <v>7607</v>
      </c>
      <c r="I147" s="3">
        <v>7296</v>
      </c>
      <c r="J147" s="3">
        <v>311</v>
      </c>
      <c r="K147" s="3">
        <v>4.0999999999999996</v>
      </c>
      <c r="L147" s="3" t="s">
        <v>78</v>
      </c>
      <c r="M147">
        <f t="shared" si="20"/>
        <v>8692.3333333333339</v>
      </c>
      <c r="N147">
        <f t="shared" si="19"/>
        <v>7920.1636097147584</v>
      </c>
      <c r="O147">
        <f t="shared" si="16"/>
        <v>311</v>
      </c>
      <c r="P147" s="6">
        <f t="shared" si="17"/>
        <v>4.0883396871302748E-2</v>
      </c>
      <c r="Q147" s="6">
        <f t="shared" si="18"/>
        <v>4.1167820391055397E-2</v>
      </c>
    </row>
    <row r="148" spans="1:17" x14ac:dyDescent="0.25">
      <c r="A148" s="2">
        <v>147</v>
      </c>
      <c r="B148" s="2" t="s">
        <v>22</v>
      </c>
      <c r="C148" s="2" t="s">
        <v>23</v>
      </c>
      <c r="D148" s="2" t="s">
        <v>74</v>
      </c>
      <c r="E148" s="2">
        <v>3</v>
      </c>
      <c r="F148" s="2">
        <v>2023</v>
      </c>
      <c r="G148" s="8" t="s">
        <v>79</v>
      </c>
      <c r="H148" s="2">
        <v>8357</v>
      </c>
      <c r="I148" s="2">
        <v>8632</v>
      </c>
      <c r="J148" s="2">
        <v>-275</v>
      </c>
      <c r="K148" s="2">
        <v>3.3</v>
      </c>
      <c r="L148" s="2" t="s">
        <v>76</v>
      </c>
      <c r="M148">
        <f t="shared" si="20"/>
        <v>8264.6666666666661</v>
      </c>
      <c r="N148">
        <f t="shared" si="19"/>
        <v>7826.2145268003296</v>
      </c>
      <c r="O148">
        <f t="shared" si="16"/>
        <v>275</v>
      </c>
      <c r="P148" s="6">
        <f t="shared" si="17"/>
        <v>3.2906545411032669E-2</v>
      </c>
      <c r="Q148" s="6">
        <f t="shared" si="18"/>
        <v>6.3513877372223332E-2</v>
      </c>
    </row>
    <row r="149" spans="1:17" x14ac:dyDescent="0.25">
      <c r="A149" s="3">
        <v>148</v>
      </c>
      <c r="B149" s="3" t="s">
        <v>22</v>
      </c>
      <c r="C149" s="3" t="s">
        <v>23</v>
      </c>
      <c r="D149" s="3" t="s">
        <v>74</v>
      </c>
      <c r="E149" s="3">
        <v>4</v>
      </c>
      <c r="F149" s="3">
        <v>2023</v>
      </c>
      <c r="G149" s="9" t="s">
        <v>80</v>
      </c>
      <c r="H149" s="3">
        <v>9904</v>
      </c>
      <c r="I149" s="3">
        <v>10701</v>
      </c>
      <c r="J149" s="3">
        <v>-797</v>
      </c>
      <c r="K149" s="3">
        <v>8</v>
      </c>
      <c r="L149" s="3" t="s">
        <v>83</v>
      </c>
      <c r="M149">
        <f t="shared" si="20"/>
        <v>8017.333333333333</v>
      </c>
      <c r="N149">
        <f t="shared" si="19"/>
        <v>7985.4501687602296</v>
      </c>
      <c r="O149">
        <f t="shared" si="16"/>
        <v>797</v>
      </c>
      <c r="P149" s="6">
        <f t="shared" si="17"/>
        <v>8.0472536348949922E-2</v>
      </c>
      <c r="Q149" s="6">
        <f t="shared" si="18"/>
        <v>0.19371464370353092</v>
      </c>
    </row>
    <row r="150" spans="1:17" x14ac:dyDescent="0.25">
      <c r="A150" s="2">
        <v>149</v>
      </c>
      <c r="B150" s="2" t="s">
        <v>22</v>
      </c>
      <c r="C150" s="2" t="s">
        <v>23</v>
      </c>
      <c r="D150" s="2" t="s">
        <v>74</v>
      </c>
      <c r="E150" s="2">
        <v>5</v>
      </c>
      <c r="F150" s="2">
        <v>2023</v>
      </c>
      <c r="G150" s="8" t="s">
        <v>81</v>
      </c>
      <c r="H150" s="2">
        <v>10140</v>
      </c>
      <c r="I150" s="2">
        <v>9949</v>
      </c>
      <c r="J150" s="2">
        <v>191</v>
      </c>
      <c r="K150" s="2">
        <v>1.9</v>
      </c>
      <c r="L150" s="2" t="s">
        <v>78</v>
      </c>
      <c r="M150">
        <f t="shared" si="20"/>
        <v>8622.6666666666661</v>
      </c>
      <c r="N150">
        <f t="shared" si="19"/>
        <v>8561.0151181321598</v>
      </c>
      <c r="O150">
        <f t="shared" si="16"/>
        <v>191</v>
      </c>
      <c r="P150" s="6">
        <f t="shared" si="17"/>
        <v>1.8836291913214991E-2</v>
      </c>
      <c r="Q150" s="6">
        <f t="shared" si="18"/>
        <v>0.15571843016448128</v>
      </c>
    </row>
    <row r="151" spans="1:17" x14ac:dyDescent="0.25">
      <c r="A151" s="3">
        <v>150</v>
      </c>
      <c r="B151" s="3" t="s">
        <v>22</v>
      </c>
      <c r="C151" s="3" t="s">
        <v>23</v>
      </c>
      <c r="D151" s="3" t="s">
        <v>74</v>
      </c>
      <c r="E151" s="3">
        <v>6</v>
      </c>
      <c r="F151" s="3">
        <v>2023</v>
      </c>
      <c r="G151" s="9" t="s">
        <v>82</v>
      </c>
      <c r="H151" s="3">
        <v>9958</v>
      </c>
      <c r="I151" s="3">
        <v>9380</v>
      </c>
      <c r="J151" s="3">
        <v>578</v>
      </c>
      <c r="K151" s="3">
        <v>5.8</v>
      </c>
      <c r="L151" s="3" t="s">
        <v>83</v>
      </c>
      <c r="M151">
        <f t="shared" si="20"/>
        <v>9467</v>
      </c>
      <c r="N151">
        <f t="shared" si="19"/>
        <v>9034.7105826925108</v>
      </c>
      <c r="O151">
        <f t="shared" si="16"/>
        <v>578</v>
      </c>
      <c r="P151" s="6">
        <f t="shared" si="17"/>
        <v>5.8043783892347864E-2</v>
      </c>
      <c r="Q151" s="6">
        <f t="shared" si="18"/>
        <v>9.271835883786797E-2</v>
      </c>
    </row>
    <row r="152" spans="1:17" x14ac:dyDescent="0.25">
      <c r="A152" s="2">
        <v>151</v>
      </c>
      <c r="B152" s="2" t="s">
        <v>22</v>
      </c>
      <c r="C152" s="2" t="s">
        <v>23</v>
      </c>
      <c r="D152" s="2" t="s">
        <v>74</v>
      </c>
      <c r="E152" s="2">
        <v>7</v>
      </c>
      <c r="F152" s="2">
        <v>2023</v>
      </c>
      <c r="G152" s="8" t="s">
        <v>84</v>
      </c>
      <c r="H152" s="2">
        <v>10522</v>
      </c>
      <c r="I152" s="2">
        <v>10147</v>
      </c>
      <c r="J152" s="2">
        <v>375</v>
      </c>
      <c r="K152" s="2">
        <v>3.6</v>
      </c>
      <c r="L152" s="2" t="s">
        <v>76</v>
      </c>
      <c r="M152">
        <f t="shared" si="20"/>
        <v>10000.666666666666</v>
      </c>
      <c r="N152">
        <f t="shared" si="19"/>
        <v>9311.6974078847579</v>
      </c>
      <c r="O152">
        <f t="shared" si="16"/>
        <v>375</v>
      </c>
      <c r="P152" s="6">
        <f t="shared" si="17"/>
        <v>3.5639612241018817E-2</v>
      </c>
      <c r="Q152" s="6">
        <f t="shared" si="18"/>
        <v>0.11502590687276583</v>
      </c>
    </row>
    <row r="153" spans="1:17" x14ac:dyDescent="0.25">
      <c r="A153" s="3">
        <v>152</v>
      </c>
      <c r="B153" s="3" t="s">
        <v>22</v>
      </c>
      <c r="C153" s="3" t="s">
        <v>23</v>
      </c>
      <c r="D153" s="3" t="s">
        <v>74</v>
      </c>
      <c r="E153" s="3">
        <v>8</v>
      </c>
      <c r="F153" s="3">
        <v>2023</v>
      </c>
      <c r="G153" s="9" t="s">
        <v>85</v>
      </c>
      <c r="H153" s="3">
        <v>9836</v>
      </c>
      <c r="I153" s="3">
        <v>9272</v>
      </c>
      <c r="J153" s="3">
        <v>564</v>
      </c>
      <c r="K153" s="3">
        <v>5.7</v>
      </c>
      <c r="L153" s="3" t="s">
        <v>76</v>
      </c>
      <c r="M153">
        <f t="shared" si="20"/>
        <v>10206.666666666666</v>
      </c>
      <c r="N153">
        <f t="shared" si="19"/>
        <v>9674.78818551933</v>
      </c>
      <c r="O153">
        <f t="shared" si="16"/>
        <v>564</v>
      </c>
      <c r="P153" s="6">
        <f t="shared" si="17"/>
        <v>5.7340382269215125E-2</v>
      </c>
      <c r="Q153" s="6">
        <f t="shared" si="18"/>
        <v>1.6389977072048596E-2</v>
      </c>
    </row>
    <row r="154" spans="1:17" x14ac:dyDescent="0.25">
      <c r="A154" s="2">
        <v>153</v>
      </c>
      <c r="B154" s="2" t="s">
        <v>22</v>
      </c>
      <c r="C154" s="2" t="s">
        <v>23</v>
      </c>
      <c r="D154" s="2" t="s">
        <v>74</v>
      </c>
      <c r="E154" s="2">
        <v>9</v>
      </c>
      <c r="F154" s="2">
        <v>2023</v>
      </c>
      <c r="G154" s="8" t="s">
        <v>86</v>
      </c>
      <c r="H154" s="2">
        <v>10169</v>
      </c>
      <c r="I154" s="2">
        <v>11104</v>
      </c>
      <c r="J154" s="2">
        <v>-935</v>
      </c>
      <c r="K154" s="2">
        <v>9.1999999999999993</v>
      </c>
      <c r="L154" s="2" t="s">
        <v>83</v>
      </c>
      <c r="M154">
        <f t="shared" si="20"/>
        <v>10105.333333333334</v>
      </c>
      <c r="N154">
        <f t="shared" si="19"/>
        <v>9723.1517298635299</v>
      </c>
      <c r="O154">
        <f t="shared" si="16"/>
        <v>935</v>
      </c>
      <c r="P154" s="6">
        <f t="shared" si="17"/>
        <v>9.1946110728685221E-2</v>
      </c>
      <c r="Q154" s="6">
        <f t="shared" si="18"/>
        <v>4.3843865683594267E-2</v>
      </c>
    </row>
    <row r="155" spans="1:17" x14ac:dyDescent="0.25">
      <c r="A155" s="3">
        <v>154</v>
      </c>
      <c r="B155" s="3" t="s">
        <v>22</v>
      </c>
      <c r="C155" s="3" t="s">
        <v>23</v>
      </c>
      <c r="D155" s="3" t="s">
        <v>74</v>
      </c>
      <c r="E155" s="3">
        <v>10</v>
      </c>
      <c r="F155" s="3">
        <v>2023</v>
      </c>
      <c r="G155" s="9" t="s">
        <v>87</v>
      </c>
      <c r="H155" s="3">
        <v>9621</v>
      </c>
      <c r="I155" s="3">
        <v>8822</v>
      </c>
      <c r="J155" s="3">
        <v>799</v>
      </c>
      <c r="K155" s="3">
        <v>8.3000000000000007</v>
      </c>
      <c r="L155" s="3" t="s">
        <v>83</v>
      </c>
      <c r="M155">
        <f t="shared" si="20"/>
        <v>10175.666666666666</v>
      </c>
      <c r="N155">
        <f t="shared" si="19"/>
        <v>9856.9062109044717</v>
      </c>
      <c r="O155">
        <f t="shared" si="16"/>
        <v>799</v>
      </c>
      <c r="P155" s="6">
        <f t="shared" si="17"/>
        <v>8.304750025984825E-2</v>
      </c>
      <c r="Q155" s="6">
        <f t="shared" si="18"/>
        <v>2.4519926297107541E-2</v>
      </c>
    </row>
    <row r="156" spans="1:17" x14ac:dyDescent="0.25">
      <c r="A156" s="2">
        <v>155</v>
      </c>
      <c r="B156" s="2" t="s">
        <v>22</v>
      </c>
      <c r="C156" s="2" t="s">
        <v>23</v>
      </c>
      <c r="D156" s="2" t="s">
        <v>74</v>
      </c>
      <c r="E156" s="2">
        <v>11</v>
      </c>
      <c r="F156" s="2">
        <v>2023</v>
      </c>
      <c r="G156" s="8" t="s">
        <v>88</v>
      </c>
      <c r="H156" s="2">
        <v>12341</v>
      </c>
      <c r="I156" s="2">
        <v>12635</v>
      </c>
      <c r="J156" s="2">
        <v>-294</v>
      </c>
      <c r="K156" s="2">
        <v>2.4</v>
      </c>
      <c r="L156" s="2" t="s">
        <v>78</v>
      </c>
      <c r="M156">
        <f t="shared" si="20"/>
        <v>9875.3333333333339</v>
      </c>
      <c r="N156">
        <f t="shared" si="19"/>
        <v>9786.1343476331294</v>
      </c>
      <c r="O156">
        <f t="shared" si="16"/>
        <v>294</v>
      </c>
      <c r="P156" s="6">
        <f t="shared" si="17"/>
        <v>2.3823028927963699E-2</v>
      </c>
      <c r="Q156" s="6">
        <f t="shared" si="18"/>
        <v>0.20702257939930885</v>
      </c>
    </row>
    <row r="157" spans="1:17" x14ac:dyDescent="0.25">
      <c r="A157" s="3">
        <v>156</v>
      </c>
      <c r="B157" s="3" t="s">
        <v>22</v>
      </c>
      <c r="C157" s="3" t="s">
        <v>23</v>
      </c>
      <c r="D157" s="3" t="s">
        <v>74</v>
      </c>
      <c r="E157" s="3">
        <v>12</v>
      </c>
      <c r="F157" s="3">
        <v>2023</v>
      </c>
      <c r="G157" s="9" t="s">
        <v>89</v>
      </c>
      <c r="H157" s="3">
        <v>13293</v>
      </c>
      <c r="I157" s="3">
        <v>13960</v>
      </c>
      <c r="J157" s="3">
        <v>-667</v>
      </c>
      <c r="K157" s="3">
        <v>5</v>
      </c>
      <c r="L157" s="3" t="s">
        <v>83</v>
      </c>
      <c r="M157">
        <f t="shared" si="20"/>
        <v>10710.333333333334</v>
      </c>
      <c r="N157">
        <f t="shared" si="19"/>
        <v>10552.59404334319</v>
      </c>
      <c r="O157">
        <f t="shared" si="16"/>
        <v>667</v>
      </c>
      <c r="P157" s="6">
        <f t="shared" si="17"/>
        <v>5.017678477394117E-2</v>
      </c>
      <c r="Q157" s="6">
        <f t="shared" si="18"/>
        <v>0.20615406278919809</v>
      </c>
    </row>
    <row r="158" spans="1:17" x14ac:dyDescent="0.25">
      <c r="A158" s="2">
        <v>157</v>
      </c>
      <c r="B158" s="2" t="s">
        <v>22</v>
      </c>
      <c r="C158" s="2" t="s">
        <v>23</v>
      </c>
      <c r="D158" s="2" t="s">
        <v>74</v>
      </c>
      <c r="E158" s="2">
        <v>1</v>
      </c>
      <c r="F158" s="2">
        <v>2024</v>
      </c>
      <c r="G158" s="8" t="s">
        <v>90</v>
      </c>
      <c r="H158" s="2">
        <v>7707</v>
      </c>
      <c r="I158" s="2">
        <v>8179</v>
      </c>
      <c r="J158" s="2">
        <v>-472</v>
      </c>
      <c r="K158" s="2">
        <v>6.1</v>
      </c>
      <c r="L158" s="2" t="s">
        <v>78</v>
      </c>
      <c r="M158">
        <f t="shared" si="20"/>
        <v>11751.666666666666</v>
      </c>
      <c r="N158">
        <f t="shared" si="19"/>
        <v>11374.715830340232</v>
      </c>
      <c r="O158">
        <f t="shared" si="16"/>
        <v>472</v>
      </c>
      <c r="P158" s="6">
        <f t="shared" si="17"/>
        <v>6.1243025820682494E-2</v>
      </c>
      <c r="Q158" s="6">
        <f t="shared" si="18"/>
        <v>0.47589410021282369</v>
      </c>
    </row>
    <row r="159" spans="1:17" x14ac:dyDescent="0.25">
      <c r="A159" s="3">
        <v>158</v>
      </c>
      <c r="B159" s="3" t="s">
        <v>22</v>
      </c>
      <c r="C159" s="3" t="s">
        <v>23</v>
      </c>
      <c r="D159" s="3" t="s">
        <v>74</v>
      </c>
      <c r="E159" s="3">
        <v>2</v>
      </c>
      <c r="F159" s="3">
        <v>2024</v>
      </c>
      <c r="G159" s="9" t="s">
        <v>91</v>
      </c>
      <c r="H159" s="3">
        <v>6900</v>
      </c>
      <c r="I159" s="3">
        <v>6547</v>
      </c>
      <c r="J159" s="3">
        <v>353</v>
      </c>
      <c r="K159" s="3">
        <v>5.0999999999999996</v>
      </c>
      <c r="L159" s="3" t="s">
        <v>76</v>
      </c>
      <c r="M159">
        <f t="shared" si="20"/>
        <v>11113.666666666666</v>
      </c>
      <c r="N159">
        <f t="shared" si="19"/>
        <v>10274.401081238162</v>
      </c>
      <c r="O159">
        <f t="shared" si="16"/>
        <v>353</v>
      </c>
      <c r="P159" s="6">
        <f t="shared" si="17"/>
        <v>5.1159420289855075E-2</v>
      </c>
      <c r="Q159" s="6">
        <f t="shared" si="18"/>
        <v>0.4890436349620525</v>
      </c>
    </row>
    <row r="160" spans="1:17" x14ac:dyDescent="0.25">
      <c r="A160" s="2">
        <v>159</v>
      </c>
      <c r="B160" s="2" t="s">
        <v>22</v>
      </c>
      <c r="C160" s="2" t="s">
        <v>23</v>
      </c>
      <c r="D160" s="2" t="s">
        <v>74</v>
      </c>
      <c r="E160" s="2">
        <v>3</v>
      </c>
      <c r="F160" s="2">
        <v>2024</v>
      </c>
      <c r="G160" s="8" t="s">
        <v>92</v>
      </c>
      <c r="H160" s="2">
        <v>9266</v>
      </c>
      <c r="I160" s="2">
        <v>9763</v>
      </c>
      <c r="J160" s="2">
        <v>-497</v>
      </c>
      <c r="K160" s="2">
        <v>5.4</v>
      </c>
      <c r="L160" s="2" t="s">
        <v>76</v>
      </c>
      <c r="M160">
        <f t="shared" si="20"/>
        <v>9300</v>
      </c>
      <c r="N160">
        <f t="shared" si="19"/>
        <v>9262.0807568667133</v>
      </c>
      <c r="O160">
        <f t="shared" si="16"/>
        <v>497</v>
      </c>
      <c r="P160" s="6">
        <f t="shared" si="17"/>
        <v>5.3636952298726524E-2</v>
      </c>
      <c r="Q160" s="6">
        <f t="shared" si="18"/>
        <v>4.2297033599036557E-4</v>
      </c>
    </row>
    <row r="161" spans="1:17" x14ac:dyDescent="0.25">
      <c r="A161" s="3">
        <v>160</v>
      </c>
      <c r="B161" s="3" t="s">
        <v>22</v>
      </c>
      <c r="C161" s="3" t="s">
        <v>23</v>
      </c>
      <c r="D161" s="3" t="s">
        <v>74</v>
      </c>
      <c r="E161" s="3">
        <v>4</v>
      </c>
      <c r="F161" s="3">
        <v>2024</v>
      </c>
      <c r="G161" s="9" t="s">
        <v>93</v>
      </c>
      <c r="H161" s="3">
        <v>9304</v>
      </c>
      <c r="I161" s="3">
        <v>9545</v>
      </c>
      <c r="J161" s="3">
        <v>-241</v>
      </c>
      <c r="K161" s="3">
        <v>2.6</v>
      </c>
      <c r="L161" s="3" t="s">
        <v>78</v>
      </c>
      <c r="M161">
        <f t="shared" si="20"/>
        <v>7957.666666666667</v>
      </c>
      <c r="N161">
        <f t="shared" si="19"/>
        <v>9263.2565298066984</v>
      </c>
      <c r="O161">
        <f t="shared" si="16"/>
        <v>241</v>
      </c>
      <c r="P161" s="6">
        <f t="shared" si="17"/>
        <v>2.5902837489251936E-2</v>
      </c>
      <c r="Q161" s="6">
        <f t="shared" si="18"/>
        <v>4.3791348015156514E-3</v>
      </c>
    </row>
    <row r="162" spans="1:17" x14ac:dyDescent="0.25">
      <c r="A162" s="2">
        <v>161</v>
      </c>
      <c r="B162" s="2" t="s">
        <v>22</v>
      </c>
      <c r="C162" s="2" t="s">
        <v>23</v>
      </c>
      <c r="D162" s="2" t="s">
        <v>74</v>
      </c>
      <c r="E162" s="2">
        <v>5</v>
      </c>
      <c r="F162" s="2">
        <v>2024</v>
      </c>
      <c r="G162" s="8" t="s">
        <v>94</v>
      </c>
      <c r="H162" s="2">
        <v>10497</v>
      </c>
      <c r="I162" s="2">
        <v>10253</v>
      </c>
      <c r="J162" s="2">
        <v>244</v>
      </c>
      <c r="K162" s="2">
        <v>2.2999999999999998</v>
      </c>
      <c r="L162" s="2" t="s">
        <v>76</v>
      </c>
      <c r="M162">
        <f t="shared" si="20"/>
        <v>8490</v>
      </c>
      <c r="N162">
        <f t="shared" si="19"/>
        <v>9275.4795708646889</v>
      </c>
      <c r="O162">
        <f t="shared" si="16"/>
        <v>244</v>
      </c>
      <c r="P162" s="6">
        <f t="shared" si="17"/>
        <v>2.3244736591407068E-2</v>
      </c>
      <c r="Q162" s="6">
        <f t="shared" si="18"/>
        <v>0.11636852711587226</v>
      </c>
    </row>
    <row r="163" spans="1:17" x14ac:dyDescent="0.25">
      <c r="A163" s="3">
        <v>162</v>
      </c>
      <c r="B163" s="3" t="s">
        <v>22</v>
      </c>
      <c r="C163" s="3" t="s">
        <v>23</v>
      </c>
      <c r="D163" s="3" t="s">
        <v>74</v>
      </c>
      <c r="E163" s="3">
        <v>6</v>
      </c>
      <c r="F163" s="3">
        <v>2024</v>
      </c>
      <c r="G163" s="9" t="s">
        <v>95</v>
      </c>
      <c r="H163" s="3">
        <v>9807</v>
      </c>
      <c r="I163" s="3">
        <v>10113</v>
      </c>
      <c r="J163" s="3">
        <v>-306</v>
      </c>
      <c r="K163" s="3">
        <v>3.1</v>
      </c>
      <c r="L163" s="3" t="s">
        <v>78</v>
      </c>
      <c r="M163">
        <f t="shared" si="20"/>
        <v>9689</v>
      </c>
      <c r="N163">
        <f t="shared" si="19"/>
        <v>9641.9356996052811</v>
      </c>
      <c r="O163">
        <f t="shared" si="16"/>
        <v>306</v>
      </c>
      <c r="P163" s="6">
        <f t="shared" si="17"/>
        <v>3.1202202508412359E-2</v>
      </c>
      <c r="Q163" s="6">
        <f t="shared" si="18"/>
        <v>1.6831273620344537E-2</v>
      </c>
    </row>
    <row r="164" spans="1:17" x14ac:dyDescent="0.25">
      <c r="A164" s="2">
        <v>163</v>
      </c>
      <c r="B164" s="2" t="s">
        <v>22</v>
      </c>
      <c r="C164" s="2" t="s">
        <v>23</v>
      </c>
      <c r="D164" s="2" t="s">
        <v>74</v>
      </c>
      <c r="E164" s="2">
        <v>7</v>
      </c>
      <c r="F164" s="2">
        <v>2024</v>
      </c>
      <c r="G164" s="8" t="s">
        <v>96</v>
      </c>
      <c r="H164" s="2">
        <v>11226</v>
      </c>
      <c r="I164" s="2">
        <v>12035</v>
      </c>
      <c r="J164" s="2">
        <v>-809</v>
      </c>
      <c r="K164" s="2">
        <v>7.2</v>
      </c>
      <c r="L164" s="2" t="s">
        <v>78</v>
      </c>
      <c r="M164">
        <f t="shared" si="20"/>
        <v>9869.3333333333339</v>
      </c>
      <c r="N164">
        <f t="shared" si="19"/>
        <v>9691.4549897236957</v>
      </c>
      <c r="O164">
        <f t="shared" si="16"/>
        <v>809</v>
      </c>
      <c r="P164" s="6">
        <f t="shared" si="17"/>
        <v>7.2064849456618563E-2</v>
      </c>
      <c r="Q164" s="6">
        <f t="shared" si="18"/>
        <v>0.13669561823234494</v>
      </c>
    </row>
    <row r="165" spans="1:17" x14ac:dyDescent="0.25">
      <c r="A165" s="3">
        <v>164</v>
      </c>
      <c r="B165" s="3" t="s">
        <v>22</v>
      </c>
      <c r="C165" s="3" t="s">
        <v>23</v>
      </c>
      <c r="D165" s="3" t="s">
        <v>74</v>
      </c>
      <c r="E165" s="3">
        <v>8</v>
      </c>
      <c r="F165" s="3">
        <v>2024</v>
      </c>
      <c r="G165" s="9" t="s">
        <v>97</v>
      </c>
      <c r="H165" s="3">
        <v>10641</v>
      </c>
      <c r="I165" s="3">
        <v>10042</v>
      </c>
      <c r="J165" s="3">
        <v>599</v>
      </c>
      <c r="K165" s="3">
        <v>5.6</v>
      </c>
      <c r="L165" s="3" t="s">
        <v>83</v>
      </c>
      <c r="M165">
        <f t="shared" si="20"/>
        <v>10510</v>
      </c>
      <c r="N165">
        <f t="shared" si="19"/>
        <v>10151.818492806586</v>
      </c>
      <c r="O165">
        <f t="shared" si="16"/>
        <v>599</v>
      </c>
      <c r="P165" s="6">
        <f t="shared" si="17"/>
        <v>5.6291701907715437E-2</v>
      </c>
      <c r="Q165" s="6">
        <f t="shared" si="18"/>
        <v>4.5971384944405065E-2</v>
      </c>
    </row>
    <row r="166" spans="1:17" x14ac:dyDescent="0.25">
      <c r="A166" s="2">
        <v>165</v>
      </c>
      <c r="B166" s="2" t="s">
        <v>22</v>
      </c>
      <c r="C166" s="2" t="s">
        <v>23</v>
      </c>
      <c r="D166" s="2" t="s">
        <v>74</v>
      </c>
      <c r="E166" s="2">
        <v>9</v>
      </c>
      <c r="F166" s="2">
        <v>2024</v>
      </c>
      <c r="G166" s="8" t="s">
        <v>98</v>
      </c>
      <c r="H166" s="2">
        <v>9540</v>
      </c>
      <c r="I166" s="2">
        <v>8681</v>
      </c>
      <c r="J166" s="2">
        <v>859</v>
      </c>
      <c r="K166" s="2">
        <v>9</v>
      </c>
      <c r="L166" s="2" t="s">
        <v>78</v>
      </c>
      <c r="M166">
        <f t="shared" si="20"/>
        <v>10558</v>
      </c>
      <c r="N166">
        <f t="shared" si="19"/>
        <v>10298.57294496461</v>
      </c>
      <c r="O166">
        <f t="shared" si="16"/>
        <v>859</v>
      </c>
      <c r="P166" s="6">
        <f t="shared" si="17"/>
        <v>9.0041928721174003E-2</v>
      </c>
      <c r="Q166" s="6">
        <f t="shared" si="18"/>
        <v>7.9514983748910861E-2</v>
      </c>
    </row>
    <row r="167" spans="1:17" x14ac:dyDescent="0.25">
      <c r="A167" s="3">
        <v>166</v>
      </c>
      <c r="B167" s="3" t="s">
        <v>22</v>
      </c>
      <c r="C167" s="3" t="s">
        <v>23</v>
      </c>
      <c r="D167" s="3" t="s">
        <v>74</v>
      </c>
      <c r="E167" s="3">
        <v>10</v>
      </c>
      <c r="F167" s="3">
        <v>2024</v>
      </c>
      <c r="G167" s="9" t="s">
        <v>99</v>
      </c>
      <c r="H167" s="3">
        <v>11497</v>
      </c>
      <c r="I167" s="3">
        <v>10626</v>
      </c>
      <c r="J167" s="3">
        <v>871</v>
      </c>
      <c r="K167" s="3">
        <v>7.6</v>
      </c>
      <c r="L167" s="3" t="s">
        <v>78</v>
      </c>
      <c r="M167">
        <f t="shared" si="20"/>
        <v>10469</v>
      </c>
      <c r="N167">
        <f t="shared" si="19"/>
        <v>10071.001061475226</v>
      </c>
      <c r="O167">
        <f t="shared" si="16"/>
        <v>871</v>
      </c>
      <c r="P167" s="6">
        <f t="shared" si="17"/>
        <v>7.5758893624423757E-2</v>
      </c>
      <c r="Q167" s="6">
        <f t="shared" si="18"/>
        <v>0.12403226394057351</v>
      </c>
    </row>
    <row r="168" spans="1:17" x14ac:dyDescent="0.25">
      <c r="A168" s="2">
        <v>167</v>
      </c>
      <c r="B168" s="2" t="s">
        <v>22</v>
      </c>
      <c r="C168" s="2" t="s">
        <v>23</v>
      </c>
      <c r="D168" s="2" t="s">
        <v>74</v>
      </c>
      <c r="E168" s="2">
        <v>11</v>
      </c>
      <c r="F168" s="2">
        <v>2024</v>
      </c>
      <c r="G168" s="8" t="s">
        <v>100</v>
      </c>
      <c r="H168" s="2">
        <v>12734</v>
      </c>
      <c r="I168" s="2">
        <v>13160</v>
      </c>
      <c r="J168" s="2">
        <v>-426</v>
      </c>
      <c r="K168" s="2">
        <v>3.3</v>
      </c>
      <c r="L168" s="2" t="s">
        <v>83</v>
      </c>
      <c r="M168">
        <f t="shared" si="20"/>
        <v>10559.333333333334</v>
      </c>
      <c r="N168">
        <f t="shared" si="19"/>
        <v>10498.800743032658</v>
      </c>
      <c r="O168">
        <f t="shared" si="16"/>
        <v>426</v>
      </c>
      <c r="P168" s="6">
        <f t="shared" si="17"/>
        <v>3.3453745877179204E-2</v>
      </c>
      <c r="Q168" s="6">
        <f t="shared" si="18"/>
        <v>0.17553001860902639</v>
      </c>
    </row>
    <row r="169" spans="1:17" x14ac:dyDescent="0.25">
      <c r="A169" s="3">
        <v>168</v>
      </c>
      <c r="B169" s="3" t="s">
        <v>22</v>
      </c>
      <c r="C169" s="3" t="s">
        <v>23</v>
      </c>
      <c r="D169" s="3" t="s">
        <v>74</v>
      </c>
      <c r="E169" s="3">
        <v>12</v>
      </c>
      <c r="F169" s="3">
        <v>2024</v>
      </c>
      <c r="G169" s="9" t="s">
        <v>101</v>
      </c>
      <c r="H169" s="3">
        <v>12632</v>
      </c>
      <c r="I169" s="3">
        <v>13768</v>
      </c>
      <c r="J169" s="3">
        <v>-1136</v>
      </c>
      <c r="K169" s="3">
        <v>9</v>
      </c>
      <c r="L169" s="3" t="s">
        <v>76</v>
      </c>
      <c r="M169">
        <f t="shared" si="20"/>
        <v>11257</v>
      </c>
      <c r="N169">
        <f t="shared" si="19"/>
        <v>11169.36052012286</v>
      </c>
      <c r="O169">
        <f t="shared" si="16"/>
        <v>1136</v>
      </c>
      <c r="P169" s="6">
        <f t="shared" si="17"/>
        <v>8.9930335655478144E-2</v>
      </c>
      <c r="Q169" s="6">
        <f t="shared" si="18"/>
        <v>0.11578843254252215</v>
      </c>
    </row>
    <row r="170" spans="1:17" x14ac:dyDescent="0.25">
      <c r="A170" s="2">
        <v>169</v>
      </c>
      <c r="B170" s="2" t="s">
        <v>22</v>
      </c>
      <c r="C170" s="2" t="s">
        <v>23</v>
      </c>
      <c r="D170" s="2" t="s">
        <v>102</v>
      </c>
      <c r="E170" s="2">
        <v>1</v>
      </c>
      <c r="F170" s="2">
        <v>2023</v>
      </c>
      <c r="G170" s="8" t="s">
        <v>75</v>
      </c>
      <c r="H170" s="2">
        <v>7049</v>
      </c>
      <c r="I170" s="2">
        <v>7358</v>
      </c>
      <c r="J170" s="2">
        <v>-309</v>
      </c>
      <c r="K170" s="2">
        <v>4.4000000000000004</v>
      </c>
      <c r="L170" s="2" t="s">
        <v>83</v>
      </c>
      <c r="M170">
        <f t="shared" si="20"/>
        <v>12287.666666666666</v>
      </c>
      <c r="N170">
        <f t="shared" si="19"/>
        <v>11608.152364086001</v>
      </c>
      <c r="O170">
        <f t="shared" si="16"/>
        <v>309</v>
      </c>
      <c r="P170" s="6">
        <f t="shared" si="17"/>
        <v>4.383600510710739E-2</v>
      </c>
      <c r="Q170" s="6">
        <f t="shared" si="18"/>
        <v>0.6467800204406301</v>
      </c>
    </row>
    <row r="171" spans="1:17" x14ac:dyDescent="0.25">
      <c r="A171" s="3">
        <v>170</v>
      </c>
      <c r="B171" s="3" t="s">
        <v>22</v>
      </c>
      <c r="C171" s="3" t="s">
        <v>23</v>
      </c>
      <c r="D171" s="3" t="s">
        <v>102</v>
      </c>
      <c r="E171" s="3">
        <v>2</v>
      </c>
      <c r="F171" s="3">
        <v>2023</v>
      </c>
      <c r="G171" s="9" t="s">
        <v>77</v>
      </c>
      <c r="H171" s="3">
        <v>6505</v>
      </c>
      <c r="I171" s="3">
        <v>7034</v>
      </c>
      <c r="J171" s="3">
        <v>-529</v>
      </c>
      <c r="K171" s="3">
        <v>8.1</v>
      </c>
      <c r="L171" s="3" t="s">
        <v>76</v>
      </c>
      <c r="M171">
        <f t="shared" si="20"/>
        <v>10805</v>
      </c>
      <c r="N171">
        <f t="shared" si="19"/>
        <v>10240.4066548602</v>
      </c>
      <c r="O171">
        <f t="shared" si="16"/>
        <v>529</v>
      </c>
      <c r="P171" s="6">
        <f t="shared" si="17"/>
        <v>8.1322059953881629E-2</v>
      </c>
      <c r="Q171" s="6">
        <f t="shared" si="18"/>
        <v>0.57423622672716379</v>
      </c>
    </row>
    <row r="172" spans="1:17" x14ac:dyDescent="0.25">
      <c r="A172" s="2">
        <v>171</v>
      </c>
      <c r="B172" s="2" t="s">
        <v>22</v>
      </c>
      <c r="C172" s="2" t="s">
        <v>23</v>
      </c>
      <c r="D172" s="2" t="s">
        <v>102</v>
      </c>
      <c r="E172" s="2">
        <v>3</v>
      </c>
      <c r="F172" s="2">
        <v>2023</v>
      </c>
      <c r="G172" s="8" t="s">
        <v>79</v>
      </c>
      <c r="H172" s="2">
        <v>8402</v>
      </c>
      <c r="I172" s="2">
        <v>8811</v>
      </c>
      <c r="J172" s="2">
        <v>-409</v>
      </c>
      <c r="K172" s="2">
        <v>4.9000000000000004</v>
      </c>
      <c r="L172" s="2" t="s">
        <v>76</v>
      </c>
      <c r="M172">
        <f t="shared" si="20"/>
        <v>8728.6666666666661</v>
      </c>
      <c r="N172">
        <f t="shared" si="19"/>
        <v>9119.784658402139</v>
      </c>
      <c r="O172">
        <f t="shared" si="16"/>
        <v>409</v>
      </c>
      <c r="P172" s="6">
        <f t="shared" si="17"/>
        <v>4.8678885979528685E-2</v>
      </c>
      <c r="Q172" s="6">
        <f t="shared" si="18"/>
        <v>8.5430214044529759E-2</v>
      </c>
    </row>
    <row r="173" spans="1:17" x14ac:dyDescent="0.25">
      <c r="A173" s="3">
        <v>172</v>
      </c>
      <c r="B173" s="3" t="s">
        <v>22</v>
      </c>
      <c r="C173" s="3" t="s">
        <v>23</v>
      </c>
      <c r="D173" s="3" t="s">
        <v>102</v>
      </c>
      <c r="E173" s="3">
        <v>4</v>
      </c>
      <c r="F173" s="3">
        <v>2023</v>
      </c>
      <c r="G173" s="9" t="s">
        <v>80</v>
      </c>
      <c r="H173" s="3">
        <v>7978</v>
      </c>
      <c r="I173" s="3">
        <v>8379</v>
      </c>
      <c r="J173" s="3">
        <v>-401</v>
      </c>
      <c r="K173" s="3">
        <v>5</v>
      </c>
      <c r="L173" s="3" t="s">
        <v>83</v>
      </c>
      <c r="M173">
        <f t="shared" si="20"/>
        <v>7318.666666666667</v>
      </c>
      <c r="N173">
        <f t="shared" si="19"/>
        <v>8904.4492608814962</v>
      </c>
      <c r="O173">
        <f t="shared" si="16"/>
        <v>401</v>
      </c>
      <c r="P173" s="6">
        <f t="shared" si="17"/>
        <v>5.0263223865630487E-2</v>
      </c>
      <c r="Q173" s="6">
        <f t="shared" si="18"/>
        <v>0.11612550274272954</v>
      </c>
    </row>
    <row r="174" spans="1:17" x14ac:dyDescent="0.25">
      <c r="A174" s="2">
        <v>173</v>
      </c>
      <c r="B174" s="2" t="s">
        <v>22</v>
      </c>
      <c r="C174" s="2" t="s">
        <v>23</v>
      </c>
      <c r="D174" s="2" t="s">
        <v>102</v>
      </c>
      <c r="E174" s="2">
        <v>5</v>
      </c>
      <c r="F174" s="2">
        <v>2023</v>
      </c>
      <c r="G174" s="8" t="s">
        <v>81</v>
      </c>
      <c r="H174" s="2">
        <v>8025</v>
      </c>
      <c r="I174" s="2">
        <v>8470</v>
      </c>
      <c r="J174" s="2">
        <v>-445</v>
      </c>
      <c r="K174" s="2">
        <v>5.5</v>
      </c>
      <c r="L174" s="2" t="s">
        <v>76</v>
      </c>
      <c r="M174">
        <f t="shared" si="20"/>
        <v>7628.333333333333</v>
      </c>
      <c r="N174">
        <f t="shared" si="19"/>
        <v>8626.5144826170472</v>
      </c>
      <c r="O174">
        <f t="shared" si="16"/>
        <v>445</v>
      </c>
      <c r="P174" s="6">
        <f t="shared" si="17"/>
        <v>5.5451713395638633E-2</v>
      </c>
      <c r="Q174" s="6">
        <f t="shared" si="18"/>
        <v>7.4955075715519903E-2</v>
      </c>
    </row>
    <row r="175" spans="1:17" x14ac:dyDescent="0.25">
      <c r="A175" s="3">
        <v>174</v>
      </c>
      <c r="B175" s="3" t="s">
        <v>22</v>
      </c>
      <c r="C175" s="3" t="s">
        <v>23</v>
      </c>
      <c r="D175" s="3" t="s">
        <v>102</v>
      </c>
      <c r="E175" s="3">
        <v>6</v>
      </c>
      <c r="F175" s="3">
        <v>2023</v>
      </c>
      <c r="G175" s="9" t="s">
        <v>82</v>
      </c>
      <c r="H175" s="3">
        <v>9152</v>
      </c>
      <c r="I175" s="3">
        <v>8739</v>
      </c>
      <c r="J175" s="3">
        <v>413</v>
      </c>
      <c r="K175" s="3">
        <v>4.5</v>
      </c>
      <c r="L175" s="3" t="s">
        <v>78</v>
      </c>
      <c r="M175">
        <f t="shared" si="20"/>
        <v>8135</v>
      </c>
      <c r="N175">
        <f t="shared" si="19"/>
        <v>8446.0601378319334</v>
      </c>
      <c r="O175">
        <f t="shared" si="16"/>
        <v>413</v>
      </c>
      <c r="P175" s="6">
        <f t="shared" si="17"/>
        <v>4.5126748251748248E-2</v>
      </c>
      <c r="Q175" s="6">
        <f t="shared" si="18"/>
        <v>7.7135037387245045E-2</v>
      </c>
    </row>
    <row r="176" spans="1:17" x14ac:dyDescent="0.25">
      <c r="A176" s="2">
        <v>175</v>
      </c>
      <c r="B176" s="2" t="s">
        <v>22</v>
      </c>
      <c r="C176" s="2" t="s">
        <v>23</v>
      </c>
      <c r="D176" s="2" t="s">
        <v>102</v>
      </c>
      <c r="E176" s="2">
        <v>7</v>
      </c>
      <c r="F176" s="2">
        <v>2023</v>
      </c>
      <c r="G176" s="8" t="s">
        <v>84</v>
      </c>
      <c r="H176" s="2">
        <v>9167</v>
      </c>
      <c r="I176" s="2">
        <v>8680</v>
      </c>
      <c r="J176" s="2">
        <v>487</v>
      </c>
      <c r="K176" s="2">
        <v>5.3</v>
      </c>
      <c r="L176" s="2" t="s">
        <v>76</v>
      </c>
      <c r="M176">
        <f t="shared" si="20"/>
        <v>8385</v>
      </c>
      <c r="N176">
        <f t="shared" si="19"/>
        <v>8657.8420964823526</v>
      </c>
      <c r="O176">
        <f t="shared" si="16"/>
        <v>487</v>
      </c>
      <c r="P176" s="6">
        <f t="shared" si="17"/>
        <v>5.3125340896694663E-2</v>
      </c>
      <c r="Q176" s="6">
        <f t="shared" si="18"/>
        <v>5.5542478839058294E-2</v>
      </c>
    </row>
    <row r="177" spans="1:17" x14ac:dyDescent="0.25">
      <c r="A177" s="3">
        <v>176</v>
      </c>
      <c r="B177" s="3" t="s">
        <v>22</v>
      </c>
      <c r="C177" s="3" t="s">
        <v>23</v>
      </c>
      <c r="D177" s="3" t="s">
        <v>102</v>
      </c>
      <c r="E177" s="3">
        <v>8</v>
      </c>
      <c r="F177" s="3">
        <v>2023</v>
      </c>
      <c r="G177" s="9" t="s">
        <v>85</v>
      </c>
      <c r="H177" s="3">
        <v>8111</v>
      </c>
      <c r="I177" s="3">
        <v>8176</v>
      </c>
      <c r="J177" s="3">
        <v>-65</v>
      </c>
      <c r="K177" s="3">
        <v>0.8</v>
      </c>
      <c r="L177" s="3" t="s">
        <v>78</v>
      </c>
      <c r="M177">
        <f t="shared" si="20"/>
        <v>8781.3333333333339</v>
      </c>
      <c r="N177">
        <f t="shared" si="19"/>
        <v>8810.5894675376458</v>
      </c>
      <c r="O177">
        <f t="shared" si="16"/>
        <v>65</v>
      </c>
      <c r="P177" s="6">
        <f t="shared" si="17"/>
        <v>8.0138084083343601E-3</v>
      </c>
      <c r="Q177" s="6">
        <f t="shared" si="18"/>
        <v>8.6251937805159135E-2</v>
      </c>
    </row>
    <row r="178" spans="1:17" x14ac:dyDescent="0.25">
      <c r="A178" s="2">
        <v>177</v>
      </c>
      <c r="B178" s="2" t="s">
        <v>22</v>
      </c>
      <c r="C178" s="2" t="s">
        <v>23</v>
      </c>
      <c r="D178" s="2" t="s">
        <v>102</v>
      </c>
      <c r="E178" s="2">
        <v>9</v>
      </c>
      <c r="F178" s="2">
        <v>2023</v>
      </c>
      <c r="G178" s="8" t="s">
        <v>86</v>
      </c>
      <c r="H178" s="2">
        <v>7398</v>
      </c>
      <c r="I178" s="2">
        <v>7224</v>
      </c>
      <c r="J178" s="2">
        <v>174</v>
      </c>
      <c r="K178" s="2">
        <v>2.4</v>
      </c>
      <c r="L178" s="2" t="s">
        <v>78</v>
      </c>
      <c r="M178">
        <f t="shared" si="20"/>
        <v>8810</v>
      </c>
      <c r="N178">
        <f t="shared" si="19"/>
        <v>8600.7126272763508</v>
      </c>
      <c r="O178">
        <f t="shared" si="16"/>
        <v>174</v>
      </c>
      <c r="P178" s="6">
        <f t="shared" si="17"/>
        <v>2.3519870235198703E-2</v>
      </c>
      <c r="Q178" s="6">
        <f t="shared" si="18"/>
        <v>0.16257267197571651</v>
      </c>
    </row>
    <row r="179" spans="1:17" x14ac:dyDescent="0.25">
      <c r="A179" s="3">
        <v>178</v>
      </c>
      <c r="B179" s="3" t="s">
        <v>22</v>
      </c>
      <c r="C179" s="3" t="s">
        <v>23</v>
      </c>
      <c r="D179" s="3" t="s">
        <v>102</v>
      </c>
      <c r="E179" s="3">
        <v>10</v>
      </c>
      <c r="F179" s="3">
        <v>2023</v>
      </c>
      <c r="G179" s="9" t="s">
        <v>87</v>
      </c>
      <c r="H179" s="3">
        <v>9322</v>
      </c>
      <c r="I179" s="3">
        <v>8509</v>
      </c>
      <c r="J179" s="3">
        <v>813</v>
      </c>
      <c r="K179" s="3">
        <v>8.6999999999999993</v>
      </c>
      <c r="L179" s="3" t="s">
        <v>76</v>
      </c>
      <c r="M179">
        <f t="shared" si="20"/>
        <v>8225.3333333333339</v>
      </c>
      <c r="N179">
        <f t="shared" si="19"/>
        <v>8239.8988390934446</v>
      </c>
      <c r="O179">
        <f t="shared" si="16"/>
        <v>813</v>
      </c>
      <c r="P179" s="6">
        <f t="shared" si="17"/>
        <v>8.7213044411070584E-2</v>
      </c>
      <c r="Q179" s="6">
        <f t="shared" si="18"/>
        <v>0.11608036482584803</v>
      </c>
    </row>
    <row r="180" spans="1:17" x14ac:dyDescent="0.25">
      <c r="A180" s="2">
        <v>179</v>
      </c>
      <c r="B180" s="2" t="s">
        <v>22</v>
      </c>
      <c r="C180" s="2" t="s">
        <v>23</v>
      </c>
      <c r="D180" s="2" t="s">
        <v>102</v>
      </c>
      <c r="E180" s="2">
        <v>11</v>
      </c>
      <c r="F180" s="2">
        <v>2023</v>
      </c>
      <c r="G180" s="8" t="s">
        <v>88</v>
      </c>
      <c r="H180" s="2">
        <v>9684</v>
      </c>
      <c r="I180" s="2">
        <v>9618</v>
      </c>
      <c r="J180" s="2">
        <v>66</v>
      </c>
      <c r="K180" s="2">
        <v>0.7</v>
      </c>
      <c r="L180" s="2" t="s">
        <v>78</v>
      </c>
      <c r="M180">
        <f t="shared" si="20"/>
        <v>8277</v>
      </c>
      <c r="N180">
        <f t="shared" si="19"/>
        <v>8564.5291873654114</v>
      </c>
      <c r="O180">
        <f t="shared" si="16"/>
        <v>66</v>
      </c>
      <c r="P180" s="6">
        <f t="shared" si="17"/>
        <v>6.8153655514250309E-3</v>
      </c>
      <c r="Q180" s="6">
        <f t="shared" si="18"/>
        <v>0.11560004260993273</v>
      </c>
    </row>
    <row r="181" spans="1:17" x14ac:dyDescent="0.25">
      <c r="A181" s="3">
        <v>180</v>
      </c>
      <c r="B181" s="3" t="s">
        <v>22</v>
      </c>
      <c r="C181" s="3" t="s">
        <v>23</v>
      </c>
      <c r="D181" s="3" t="s">
        <v>102</v>
      </c>
      <c r="E181" s="3">
        <v>12</v>
      </c>
      <c r="F181" s="3">
        <v>2023</v>
      </c>
      <c r="G181" s="9" t="s">
        <v>89</v>
      </c>
      <c r="H181" s="3">
        <v>9758</v>
      </c>
      <c r="I181" s="3">
        <v>9602</v>
      </c>
      <c r="J181" s="3">
        <v>156</v>
      </c>
      <c r="K181" s="3">
        <v>1.6</v>
      </c>
      <c r="L181" s="3" t="s">
        <v>83</v>
      </c>
      <c r="M181">
        <f t="shared" si="20"/>
        <v>8801.3333333333339</v>
      </c>
      <c r="N181">
        <f t="shared" si="19"/>
        <v>8900.3704311557885</v>
      </c>
      <c r="O181">
        <f t="shared" si="16"/>
        <v>156</v>
      </c>
      <c r="P181" s="6">
        <f t="shared" si="17"/>
        <v>1.5986882557901209E-2</v>
      </c>
      <c r="Q181" s="6">
        <f t="shared" si="18"/>
        <v>8.788989227753756E-2</v>
      </c>
    </row>
    <row r="182" spans="1:17" x14ac:dyDescent="0.25">
      <c r="A182" s="2">
        <v>181</v>
      </c>
      <c r="B182" s="2" t="s">
        <v>22</v>
      </c>
      <c r="C182" s="2" t="s">
        <v>23</v>
      </c>
      <c r="D182" s="2" t="s">
        <v>102</v>
      </c>
      <c r="E182" s="2">
        <v>1</v>
      </c>
      <c r="F182" s="2">
        <v>2024</v>
      </c>
      <c r="G182" s="8" t="s">
        <v>90</v>
      </c>
      <c r="H182" s="2">
        <v>7598</v>
      </c>
      <c r="I182" s="2">
        <v>6867</v>
      </c>
      <c r="J182" s="2">
        <v>731</v>
      </c>
      <c r="K182" s="2">
        <v>9.6</v>
      </c>
      <c r="L182" s="2" t="s">
        <v>83</v>
      </c>
      <c r="M182">
        <f t="shared" si="20"/>
        <v>9588</v>
      </c>
      <c r="N182">
        <f t="shared" si="19"/>
        <v>9157.6593018090516</v>
      </c>
      <c r="O182">
        <f t="shared" si="16"/>
        <v>731</v>
      </c>
      <c r="P182" s="6">
        <f t="shared" si="17"/>
        <v>9.6209528823374565E-2</v>
      </c>
      <c r="Q182" s="6">
        <f t="shared" si="18"/>
        <v>0.20527234822440796</v>
      </c>
    </row>
    <row r="183" spans="1:17" x14ac:dyDescent="0.25">
      <c r="A183" s="3">
        <v>182</v>
      </c>
      <c r="B183" s="3" t="s">
        <v>22</v>
      </c>
      <c r="C183" s="3" t="s">
        <v>23</v>
      </c>
      <c r="D183" s="3" t="s">
        <v>102</v>
      </c>
      <c r="E183" s="3">
        <v>2</v>
      </c>
      <c r="F183" s="3">
        <v>2024</v>
      </c>
      <c r="G183" s="9" t="s">
        <v>91</v>
      </c>
      <c r="H183" s="3">
        <v>6431</v>
      </c>
      <c r="I183" s="3">
        <v>5795</v>
      </c>
      <c r="J183" s="3">
        <v>636</v>
      </c>
      <c r="K183" s="3">
        <v>9.9</v>
      </c>
      <c r="L183" s="3" t="s">
        <v>76</v>
      </c>
      <c r="M183">
        <f t="shared" si="20"/>
        <v>9013.3333333333339</v>
      </c>
      <c r="N183">
        <f t="shared" si="19"/>
        <v>8689.7615112663352</v>
      </c>
      <c r="O183">
        <f t="shared" si="16"/>
        <v>636</v>
      </c>
      <c r="P183" s="6">
        <f t="shared" si="17"/>
        <v>9.889597263256103E-2</v>
      </c>
      <c r="Q183" s="6">
        <f t="shared" si="18"/>
        <v>0.3512302147825121</v>
      </c>
    </row>
    <row r="184" spans="1:17" x14ac:dyDescent="0.25">
      <c r="A184" s="2">
        <v>183</v>
      </c>
      <c r="B184" s="2" t="s">
        <v>22</v>
      </c>
      <c r="C184" s="2" t="s">
        <v>23</v>
      </c>
      <c r="D184" s="2" t="s">
        <v>102</v>
      </c>
      <c r="E184" s="2">
        <v>3</v>
      </c>
      <c r="F184" s="2">
        <v>2024</v>
      </c>
      <c r="G184" s="8" t="s">
        <v>92</v>
      </c>
      <c r="H184" s="2">
        <v>7300</v>
      </c>
      <c r="I184" s="2">
        <v>7139</v>
      </c>
      <c r="J184" s="2">
        <v>161</v>
      </c>
      <c r="K184" s="2">
        <v>2.2000000000000002</v>
      </c>
      <c r="L184" s="2" t="s">
        <v>76</v>
      </c>
      <c r="M184">
        <f t="shared" si="20"/>
        <v>7929</v>
      </c>
      <c r="N184">
        <f t="shared" si="19"/>
        <v>8012.1330578864345</v>
      </c>
      <c r="O184">
        <f t="shared" si="16"/>
        <v>161</v>
      </c>
      <c r="P184" s="6">
        <f t="shared" si="17"/>
        <v>2.2054794520547944E-2</v>
      </c>
      <c r="Q184" s="6">
        <f t="shared" si="18"/>
        <v>9.755247368307321E-2</v>
      </c>
    </row>
    <row r="185" spans="1:17" x14ac:dyDescent="0.25">
      <c r="A185" s="3">
        <v>184</v>
      </c>
      <c r="B185" s="3" t="s">
        <v>22</v>
      </c>
      <c r="C185" s="3" t="s">
        <v>23</v>
      </c>
      <c r="D185" s="3" t="s">
        <v>102</v>
      </c>
      <c r="E185" s="3">
        <v>4</v>
      </c>
      <c r="F185" s="3">
        <v>2024</v>
      </c>
      <c r="G185" s="9" t="s">
        <v>93</v>
      </c>
      <c r="H185" s="3">
        <v>8149</v>
      </c>
      <c r="I185" s="3">
        <v>8531</v>
      </c>
      <c r="J185" s="3">
        <v>-382</v>
      </c>
      <c r="K185" s="3">
        <v>4.7</v>
      </c>
      <c r="L185" s="3" t="s">
        <v>83</v>
      </c>
      <c r="M185">
        <f t="shared" si="20"/>
        <v>7109.666666666667</v>
      </c>
      <c r="N185">
        <f t="shared" si="19"/>
        <v>7798.4931405205034</v>
      </c>
      <c r="O185">
        <f t="shared" si="16"/>
        <v>382</v>
      </c>
      <c r="P185" s="6">
        <f t="shared" si="17"/>
        <v>4.6876917413179529E-2</v>
      </c>
      <c r="Q185" s="6">
        <f t="shared" si="18"/>
        <v>4.3012254200453626E-2</v>
      </c>
    </row>
    <row r="186" spans="1:17" x14ac:dyDescent="0.25">
      <c r="A186" s="2">
        <v>185</v>
      </c>
      <c r="B186" s="2" t="s">
        <v>22</v>
      </c>
      <c r="C186" s="2" t="s">
        <v>23</v>
      </c>
      <c r="D186" s="2" t="s">
        <v>102</v>
      </c>
      <c r="E186" s="2">
        <v>5</v>
      </c>
      <c r="F186" s="2">
        <v>2024</v>
      </c>
      <c r="G186" s="8" t="s">
        <v>94</v>
      </c>
      <c r="H186" s="2">
        <v>9288</v>
      </c>
      <c r="I186" s="2">
        <v>9266</v>
      </c>
      <c r="J186" s="2">
        <v>22</v>
      </c>
      <c r="K186" s="2">
        <v>0.2</v>
      </c>
      <c r="L186" s="2" t="s">
        <v>76</v>
      </c>
      <c r="M186">
        <f t="shared" si="20"/>
        <v>7293.333333333333</v>
      </c>
      <c r="N186">
        <f t="shared" si="19"/>
        <v>7903.6451983643519</v>
      </c>
      <c r="O186">
        <f t="shared" si="16"/>
        <v>22</v>
      </c>
      <c r="P186" s="6">
        <f t="shared" si="17"/>
        <v>2.3686477174849267E-3</v>
      </c>
      <c r="Q186" s="6">
        <f t="shared" si="18"/>
        <v>0.14904767459470802</v>
      </c>
    </row>
    <row r="187" spans="1:17" x14ac:dyDescent="0.25">
      <c r="A187" s="3">
        <v>186</v>
      </c>
      <c r="B187" s="3" t="s">
        <v>22</v>
      </c>
      <c r="C187" s="3" t="s">
        <v>23</v>
      </c>
      <c r="D187" s="3" t="s">
        <v>102</v>
      </c>
      <c r="E187" s="3">
        <v>6</v>
      </c>
      <c r="F187" s="3">
        <v>2024</v>
      </c>
      <c r="G187" s="9" t="s">
        <v>95</v>
      </c>
      <c r="H187" s="3">
        <v>8745</v>
      </c>
      <c r="I187" s="3">
        <v>7921</v>
      </c>
      <c r="J187" s="3">
        <v>824</v>
      </c>
      <c r="K187" s="3">
        <v>9.4</v>
      </c>
      <c r="L187" s="3" t="s">
        <v>76</v>
      </c>
      <c r="M187">
        <f t="shared" si="20"/>
        <v>8245.6666666666661</v>
      </c>
      <c r="N187">
        <f t="shared" si="19"/>
        <v>8318.9516388550455</v>
      </c>
      <c r="O187">
        <f t="shared" si="16"/>
        <v>824</v>
      </c>
      <c r="P187" s="6">
        <f t="shared" si="17"/>
        <v>9.4225271583762149E-2</v>
      </c>
      <c r="Q187" s="6">
        <f t="shared" si="18"/>
        <v>4.8719080748422468E-2</v>
      </c>
    </row>
    <row r="188" spans="1:17" x14ac:dyDescent="0.25">
      <c r="A188" s="2">
        <v>187</v>
      </c>
      <c r="B188" s="2" t="s">
        <v>22</v>
      </c>
      <c r="C188" s="2" t="s">
        <v>23</v>
      </c>
      <c r="D188" s="2" t="s">
        <v>102</v>
      </c>
      <c r="E188" s="2">
        <v>7</v>
      </c>
      <c r="F188" s="2">
        <v>2024</v>
      </c>
      <c r="G188" s="8" t="s">
        <v>96</v>
      </c>
      <c r="H188" s="2">
        <v>9074</v>
      </c>
      <c r="I188" s="2">
        <v>9615</v>
      </c>
      <c r="J188" s="2">
        <v>-541</v>
      </c>
      <c r="K188" s="2">
        <v>6</v>
      </c>
      <c r="L188" s="2" t="s">
        <v>83</v>
      </c>
      <c r="M188">
        <f t="shared" si="20"/>
        <v>8727.3333333333339</v>
      </c>
      <c r="N188">
        <f t="shared" si="19"/>
        <v>8446.7661471985302</v>
      </c>
      <c r="O188">
        <f t="shared" si="16"/>
        <v>541</v>
      </c>
      <c r="P188" s="6">
        <f t="shared" si="17"/>
        <v>5.9620894864447875E-2</v>
      </c>
      <c r="Q188" s="6">
        <f t="shared" si="18"/>
        <v>6.9124294996855823E-2</v>
      </c>
    </row>
    <row r="189" spans="1:17" x14ac:dyDescent="0.25">
      <c r="A189" s="3">
        <v>188</v>
      </c>
      <c r="B189" s="3" t="s">
        <v>22</v>
      </c>
      <c r="C189" s="3" t="s">
        <v>23</v>
      </c>
      <c r="D189" s="3" t="s">
        <v>102</v>
      </c>
      <c r="E189" s="3">
        <v>8</v>
      </c>
      <c r="F189" s="3">
        <v>2024</v>
      </c>
      <c r="G189" s="9" t="s">
        <v>97</v>
      </c>
      <c r="H189" s="3">
        <v>7797</v>
      </c>
      <c r="I189" s="3">
        <v>7746</v>
      </c>
      <c r="J189" s="3">
        <v>51</v>
      </c>
      <c r="K189" s="3">
        <v>0.7</v>
      </c>
      <c r="L189" s="3" t="s">
        <v>78</v>
      </c>
      <c r="M189">
        <f t="shared" si="20"/>
        <v>9035.6666666666661</v>
      </c>
      <c r="N189">
        <f t="shared" si="19"/>
        <v>8634.9363030389704</v>
      </c>
      <c r="O189">
        <f t="shared" si="16"/>
        <v>51</v>
      </c>
      <c r="P189" s="6">
        <f t="shared" si="17"/>
        <v>6.5409772989611387E-3</v>
      </c>
      <c r="Q189" s="6">
        <f t="shared" si="18"/>
        <v>0.10746906541477112</v>
      </c>
    </row>
    <row r="190" spans="1:17" x14ac:dyDescent="0.25">
      <c r="A190" s="2">
        <v>189</v>
      </c>
      <c r="B190" s="2" t="s">
        <v>22</v>
      </c>
      <c r="C190" s="2" t="s">
        <v>23</v>
      </c>
      <c r="D190" s="2" t="s">
        <v>102</v>
      </c>
      <c r="E190" s="2">
        <v>9</v>
      </c>
      <c r="F190" s="2">
        <v>2024</v>
      </c>
      <c r="G190" s="8" t="s">
        <v>98</v>
      </c>
      <c r="H190" s="2">
        <v>9006</v>
      </c>
      <c r="I190" s="2">
        <v>9067</v>
      </c>
      <c r="J190" s="2">
        <v>-61</v>
      </c>
      <c r="K190" s="2">
        <v>0.7</v>
      </c>
      <c r="L190" s="2" t="s">
        <v>76</v>
      </c>
      <c r="M190">
        <f t="shared" si="20"/>
        <v>8538.6666666666661</v>
      </c>
      <c r="N190">
        <f t="shared" si="19"/>
        <v>8383.555412127278</v>
      </c>
      <c r="O190">
        <f t="shared" si="16"/>
        <v>61</v>
      </c>
      <c r="P190" s="6">
        <f t="shared" si="17"/>
        <v>6.7732622695980457E-3</v>
      </c>
      <c r="Q190" s="6">
        <f t="shared" si="18"/>
        <v>6.9114433474652667E-2</v>
      </c>
    </row>
    <row r="191" spans="1:17" x14ac:dyDescent="0.25">
      <c r="A191" s="3">
        <v>190</v>
      </c>
      <c r="B191" s="3" t="s">
        <v>22</v>
      </c>
      <c r="C191" s="3" t="s">
        <v>23</v>
      </c>
      <c r="D191" s="3" t="s">
        <v>102</v>
      </c>
      <c r="E191" s="3">
        <v>10</v>
      </c>
      <c r="F191" s="3">
        <v>2024</v>
      </c>
      <c r="G191" s="9" t="s">
        <v>99</v>
      </c>
      <c r="H191" s="3">
        <v>9078</v>
      </c>
      <c r="I191" s="3">
        <v>9373</v>
      </c>
      <c r="J191" s="3">
        <v>-295</v>
      </c>
      <c r="K191" s="3">
        <v>3.2</v>
      </c>
      <c r="L191" s="3" t="s">
        <v>78</v>
      </c>
      <c r="M191">
        <f t="shared" si="20"/>
        <v>8625.6666666666661</v>
      </c>
      <c r="N191">
        <f t="shared" si="19"/>
        <v>8570.2887884890933</v>
      </c>
      <c r="O191">
        <f t="shared" si="16"/>
        <v>295</v>
      </c>
      <c r="P191" s="6">
        <f t="shared" si="17"/>
        <v>3.2496144525225819E-2</v>
      </c>
      <c r="Q191" s="6">
        <f t="shared" si="18"/>
        <v>5.5927650529952265E-2</v>
      </c>
    </row>
    <row r="192" spans="1:17" x14ac:dyDescent="0.25">
      <c r="A192" s="2">
        <v>191</v>
      </c>
      <c r="B192" s="2" t="s">
        <v>22</v>
      </c>
      <c r="C192" s="2" t="s">
        <v>23</v>
      </c>
      <c r="D192" s="2" t="s">
        <v>102</v>
      </c>
      <c r="E192" s="2">
        <v>11</v>
      </c>
      <c r="F192" s="2">
        <v>2024</v>
      </c>
      <c r="G192" s="8" t="s">
        <v>100</v>
      </c>
      <c r="H192" s="2">
        <v>10439</v>
      </c>
      <c r="I192" s="2">
        <v>9678</v>
      </c>
      <c r="J192" s="2">
        <v>761</v>
      </c>
      <c r="K192" s="2">
        <v>7.3</v>
      </c>
      <c r="L192" s="2" t="s">
        <v>76</v>
      </c>
      <c r="M192">
        <f t="shared" si="20"/>
        <v>8627</v>
      </c>
      <c r="N192">
        <f t="shared" si="19"/>
        <v>8722.6021519423648</v>
      </c>
      <c r="O192">
        <f t="shared" si="16"/>
        <v>761</v>
      </c>
      <c r="P192" s="6">
        <f t="shared" si="17"/>
        <v>7.2899703036689342E-2</v>
      </c>
      <c r="Q192" s="6">
        <f t="shared" si="18"/>
        <v>0.16442167334587943</v>
      </c>
    </row>
    <row r="193" spans="1:17" x14ac:dyDescent="0.25">
      <c r="A193" s="3">
        <v>192</v>
      </c>
      <c r="B193" s="3" t="s">
        <v>22</v>
      </c>
      <c r="C193" s="3" t="s">
        <v>23</v>
      </c>
      <c r="D193" s="3" t="s">
        <v>102</v>
      </c>
      <c r="E193" s="3">
        <v>12</v>
      </c>
      <c r="F193" s="3">
        <v>2024</v>
      </c>
      <c r="G193" s="9" t="s">
        <v>101</v>
      </c>
      <c r="H193" s="3">
        <v>9695</v>
      </c>
      <c r="I193" s="3">
        <v>9229</v>
      </c>
      <c r="J193" s="3">
        <v>466</v>
      </c>
      <c r="K193" s="3">
        <v>4.8</v>
      </c>
      <c r="L193" s="3" t="s">
        <v>76</v>
      </c>
      <c r="M193">
        <f t="shared" si="20"/>
        <v>9507.6666666666661</v>
      </c>
      <c r="N193">
        <f t="shared" si="19"/>
        <v>9237.5215063596552</v>
      </c>
      <c r="O193">
        <f t="shared" si="16"/>
        <v>466</v>
      </c>
      <c r="P193" s="6">
        <f t="shared" si="17"/>
        <v>4.80660134089737E-2</v>
      </c>
      <c r="Q193" s="6">
        <f t="shared" si="18"/>
        <v>4.7187054527111381E-2</v>
      </c>
    </row>
    <row r="194" spans="1:17" x14ac:dyDescent="0.25">
      <c r="A194" s="2">
        <v>193</v>
      </c>
      <c r="B194" s="2" t="s">
        <v>22</v>
      </c>
      <c r="C194" s="2" t="s">
        <v>23</v>
      </c>
      <c r="D194" s="2" t="s">
        <v>103</v>
      </c>
      <c r="E194" s="2">
        <v>1</v>
      </c>
      <c r="F194" s="2">
        <v>2023</v>
      </c>
      <c r="G194" s="8" t="s">
        <v>75</v>
      </c>
      <c r="H194" s="2">
        <v>7140</v>
      </c>
      <c r="I194" s="2">
        <v>6892</v>
      </c>
      <c r="J194" s="2">
        <v>248</v>
      </c>
      <c r="K194" s="2">
        <v>3.5</v>
      </c>
      <c r="L194" s="2" t="s">
        <v>76</v>
      </c>
      <c r="M194">
        <f t="shared" si="20"/>
        <v>9737.3333333333339</v>
      </c>
      <c r="N194">
        <f t="shared" si="19"/>
        <v>9374.7650544517583</v>
      </c>
      <c r="O194">
        <f t="shared" si="16"/>
        <v>248</v>
      </c>
      <c r="P194" s="6">
        <f t="shared" si="17"/>
        <v>3.4733893557422971E-2</v>
      </c>
      <c r="Q194" s="6">
        <f t="shared" si="18"/>
        <v>0.31299230454506416</v>
      </c>
    </row>
    <row r="195" spans="1:17" x14ac:dyDescent="0.25">
      <c r="A195" s="3">
        <v>194</v>
      </c>
      <c r="B195" s="3" t="s">
        <v>22</v>
      </c>
      <c r="C195" s="3" t="s">
        <v>23</v>
      </c>
      <c r="D195" s="3" t="s">
        <v>103</v>
      </c>
      <c r="E195" s="3">
        <v>2</v>
      </c>
      <c r="F195" s="3">
        <v>2023</v>
      </c>
      <c r="G195" s="9" t="s">
        <v>77</v>
      </c>
      <c r="H195" s="3">
        <v>7006</v>
      </c>
      <c r="I195" s="3">
        <v>7638</v>
      </c>
      <c r="J195" s="3">
        <v>-632</v>
      </c>
      <c r="K195" s="3">
        <v>9</v>
      </c>
      <c r="L195" s="3" t="s">
        <v>76</v>
      </c>
      <c r="M195">
        <f t="shared" si="20"/>
        <v>9091.3333333333339</v>
      </c>
      <c r="N195">
        <f t="shared" si="19"/>
        <v>8704.3355381162291</v>
      </c>
      <c r="O195">
        <f t="shared" ref="O195:O258" si="21">ABS(H195-I195)</f>
        <v>632</v>
      </c>
      <c r="P195" s="6">
        <f t="shared" ref="P195:P258" si="22">ABS(O195)/H195</f>
        <v>9.0208392806166146E-2</v>
      </c>
      <c r="Q195" s="6">
        <f t="shared" ref="Q195:Q258" si="23">ABS((H195-N195))/H195</f>
        <v>0.24241158123269044</v>
      </c>
    </row>
    <row r="196" spans="1:17" x14ac:dyDescent="0.25">
      <c r="A196" s="2">
        <v>195</v>
      </c>
      <c r="B196" s="2" t="s">
        <v>22</v>
      </c>
      <c r="C196" s="2" t="s">
        <v>23</v>
      </c>
      <c r="D196" s="2" t="s">
        <v>103</v>
      </c>
      <c r="E196" s="2">
        <v>3</v>
      </c>
      <c r="F196" s="2">
        <v>2023</v>
      </c>
      <c r="G196" s="8" t="s">
        <v>79</v>
      </c>
      <c r="H196" s="2">
        <v>8063</v>
      </c>
      <c r="I196" s="2">
        <v>7388</v>
      </c>
      <c r="J196" s="2">
        <v>675</v>
      </c>
      <c r="K196" s="2">
        <v>8.4</v>
      </c>
      <c r="L196" s="2" t="s">
        <v>78</v>
      </c>
      <c r="M196">
        <f t="shared" si="20"/>
        <v>7947</v>
      </c>
      <c r="N196">
        <f t="shared" ref="N196:N259" si="24">0.3*H195+(0.7*N195)</f>
        <v>8194.8348766813597</v>
      </c>
      <c r="O196">
        <f t="shared" si="21"/>
        <v>675</v>
      </c>
      <c r="P196" s="6">
        <f t="shared" si="22"/>
        <v>8.3715738558849062E-2</v>
      </c>
      <c r="Q196" s="6">
        <f t="shared" si="23"/>
        <v>1.6350598621029354E-2</v>
      </c>
    </row>
    <row r="197" spans="1:17" x14ac:dyDescent="0.25">
      <c r="A197" s="3">
        <v>196</v>
      </c>
      <c r="B197" s="3" t="s">
        <v>22</v>
      </c>
      <c r="C197" s="3" t="s">
        <v>23</v>
      </c>
      <c r="D197" s="3" t="s">
        <v>103</v>
      </c>
      <c r="E197" s="3">
        <v>4</v>
      </c>
      <c r="F197" s="3">
        <v>2023</v>
      </c>
      <c r="G197" s="9" t="s">
        <v>80</v>
      </c>
      <c r="H197" s="3">
        <v>9564</v>
      </c>
      <c r="I197" s="3">
        <v>8707</v>
      </c>
      <c r="J197" s="3">
        <v>857</v>
      </c>
      <c r="K197" s="3">
        <v>9</v>
      </c>
      <c r="L197" s="3" t="s">
        <v>76</v>
      </c>
      <c r="M197">
        <f t="shared" si="20"/>
        <v>7403</v>
      </c>
      <c r="N197">
        <f t="shared" si="24"/>
        <v>8155.2844136769509</v>
      </c>
      <c r="O197">
        <f t="shared" si="21"/>
        <v>857</v>
      </c>
      <c r="P197" s="6">
        <f t="shared" si="22"/>
        <v>8.9606859054788796E-2</v>
      </c>
      <c r="Q197" s="6">
        <f t="shared" si="23"/>
        <v>0.14729355775021424</v>
      </c>
    </row>
    <row r="198" spans="1:17" x14ac:dyDescent="0.25">
      <c r="A198" s="2">
        <v>197</v>
      </c>
      <c r="B198" s="2" t="s">
        <v>22</v>
      </c>
      <c r="C198" s="2" t="s">
        <v>23</v>
      </c>
      <c r="D198" s="2" t="s">
        <v>103</v>
      </c>
      <c r="E198" s="2">
        <v>5</v>
      </c>
      <c r="F198" s="2">
        <v>2023</v>
      </c>
      <c r="G198" s="8" t="s">
        <v>81</v>
      </c>
      <c r="H198" s="2">
        <v>8849</v>
      </c>
      <c r="I198" s="2">
        <v>8085</v>
      </c>
      <c r="J198" s="2">
        <v>764</v>
      </c>
      <c r="K198" s="2">
        <v>8.6</v>
      </c>
      <c r="L198" s="2" t="s">
        <v>83</v>
      </c>
      <c r="M198">
        <f t="shared" ref="M198:M261" si="25">AVERAGE(H195:H197)</f>
        <v>8211</v>
      </c>
      <c r="N198">
        <f t="shared" si="24"/>
        <v>8577.8990895738643</v>
      </c>
      <c r="O198">
        <f t="shared" si="21"/>
        <v>764</v>
      </c>
      <c r="P198" s="6">
        <f t="shared" si="22"/>
        <v>8.6337439258673293E-2</v>
      </c>
      <c r="Q198" s="6">
        <f t="shared" si="23"/>
        <v>3.063633296713026E-2</v>
      </c>
    </row>
    <row r="199" spans="1:17" x14ac:dyDescent="0.25">
      <c r="A199" s="3">
        <v>198</v>
      </c>
      <c r="B199" s="3" t="s">
        <v>22</v>
      </c>
      <c r="C199" s="3" t="s">
        <v>23</v>
      </c>
      <c r="D199" s="3" t="s">
        <v>103</v>
      </c>
      <c r="E199" s="3">
        <v>6</v>
      </c>
      <c r="F199" s="3">
        <v>2023</v>
      </c>
      <c r="G199" s="9" t="s">
        <v>82</v>
      </c>
      <c r="H199" s="3">
        <v>8832</v>
      </c>
      <c r="I199" s="3">
        <v>8003</v>
      </c>
      <c r="J199" s="3">
        <v>829</v>
      </c>
      <c r="K199" s="3">
        <v>9.4</v>
      </c>
      <c r="L199" s="3" t="s">
        <v>78</v>
      </c>
      <c r="M199">
        <f t="shared" si="25"/>
        <v>8825.3333333333339</v>
      </c>
      <c r="N199">
        <f t="shared" si="24"/>
        <v>8659.2293627017043</v>
      </c>
      <c r="O199">
        <f t="shared" si="21"/>
        <v>829</v>
      </c>
      <c r="P199" s="6">
        <f t="shared" si="22"/>
        <v>9.3863224637681153E-2</v>
      </c>
      <c r="Q199" s="6">
        <f t="shared" si="23"/>
        <v>1.9561892810042537E-2</v>
      </c>
    </row>
    <row r="200" spans="1:17" x14ac:dyDescent="0.25">
      <c r="A200" s="2">
        <v>199</v>
      </c>
      <c r="B200" s="2" t="s">
        <v>22</v>
      </c>
      <c r="C200" s="2" t="s">
        <v>23</v>
      </c>
      <c r="D200" s="2" t="s">
        <v>103</v>
      </c>
      <c r="E200" s="2">
        <v>7</v>
      </c>
      <c r="F200" s="2">
        <v>2023</v>
      </c>
      <c r="G200" s="8" t="s">
        <v>84</v>
      </c>
      <c r="H200" s="2">
        <v>9043</v>
      </c>
      <c r="I200" s="2">
        <v>8175</v>
      </c>
      <c r="J200" s="2">
        <v>868</v>
      </c>
      <c r="K200" s="2">
        <v>9.6</v>
      </c>
      <c r="L200" s="2" t="s">
        <v>78</v>
      </c>
      <c r="M200">
        <f t="shared" si="25"/>
        <v>9081.6666666666661</v>
      </c>
      <c r="N200">
        <f t="shared" si="24"/>
        <v>8711.0605538911932</v>
      </c>
      <c r="O200">
        <f t="shared" si="21"/>
        <v>868</v>
      </c>
      <c r="P200" s="6">
        <f t="shared" si="22"/>
        <v>9.5985845405285861E-2</v>
      </c>
      <c r="Q200" s="6">
        <f t="shared" si="23"/>
        <v>3.6706783822714452E-2</v>
      </c>
    </row>
    <row r="201" spans="1:17" x14ac:dyDescent="0.25">
      <c r="A201" s="3">
        <v>200</v>
      </c>
      <c r="B201" s="3" t="s">
        <v>22</v>
      </c>
      <c r="C201" s="3" t="s">
        <v>23</v>
      </c>
      <c r="D201" s="3" t="s">
        <v>103</v>
      </c>
      <c r="E201" s="3">
        <v>8</v>
      </c>
      <c r="F201" s="3">
        <v>2023</v>
      </c>
      <c r="G201" s="9" t="s">
        <v>85</v>
      </c>
      <c r="H201" s="3">
        <v>8881</v>
      </c>
      <c r="I201" s="3">
        <v>8834</v>
      </c>
      <c r="J201" s="3">
        <v>47</v>
      </c>
      <c r="K201" s="3">
        <v>0.5</v>
      </c>
      <c r="L201" s="3" t="s">
        <v>78</v>
      </c>
      <c r="M201">
        <f t="shared" si="25"/>
        <v>8908</v>
      </c>
      <c r="N201">
        <f t="shared" si="24"/>
        <v>8810.6423877238358</v>
      </c>
      <c r="O201">
        <f t="shared" si="21"/>
        <v>47</v>
      </c>
      <c r="P201" s="6">
        <f t="shared" si="22"/>
        <v>5.2921968246819051E-3</v>
      </c>
      <c r="Q201" s="6">
        <f t="shared" si="23"/>
        <v>7.9222623889386584E-3</v>
      </c>
    </row>
    <row r="202" spans="1:17" x14ac:dyDescent="0.25">
      <c r="A202" s="2">
        <v>201</v>
      </c>
      <c r="B202" s="2" t="s">
        <v>22</v>
      </c>
      <c r="C202" s="2" t="s">
        <v>23</v>
      </c>
      <c r="D202" s="2" t="s">
        <v>103</v>
      </c>
      <c r="E202" s="2">
        <v>9</v>
      </c>
      <c r="F202" s="2">
        <v>2023</v>
      </c>
      <c r="G202" s="8" t="s">
        <v>86</v>
      </c>
      <c r="H202" s="2">
        <v>9163</v>
      </c>
      <c r="I202" s="2">
        <v>8646</v>
      </c>
      <c r="J202" s="2">
        <v>517</v>
      </c>
      <c r="K202" s="2">
        <v>5.6</v>
      </c>
      <c r="L202" s="2" t="s">
        <v>83</v>
      </c>
      <c r="M202">
        <f t="shared" si="25"/>
        <v>8918.6666666666661</v>
      </c>
      <c r="N202">
        <f t="shared" si="24"/>
        <v>8831.7496714066838</v>
      </c>
      <c r="O202">
        <f t="shared" si="21"/>
        <v>517</v>
      </c>
      <c r="P202" s="6">
        <f t="shared" si="22"/>
        <v>5.6422569027611044E-2</v>
      </c>
      <c r="Q202" s="6">
        <f t="shared" si="23"/>
        <v>3.615085982683796E-2</v>
      </c>
    </row>
    <row r="203" spans="1:17" x14ac:dyDescent="0.25">
      <c r="A203" s="3">
        <v>202</v>
      </c>
      <c r="B203" s="3" t="s">
        <v>22</v>
      </c>
      <c r="C203" s="3" t="s">
        <v>23</v>
      </c>
      <c r="D203" s="3" t="s">
        <v>103</v>
      </c>
      <c r="E203" s="3">
        <v>10</v>
      </c>
      <c r="F203" s="3">
        <v>2023</v>
      </c>
      <c r="G203" s="9" t="s">
        <v>87</v>
      </c>
      <c r="H203" s="3">
        <v>9346</v>
      </c>
      <c r="I203" s="3">
        <v>9100</v>
      </c>
      <c r="J203" s="3">
        <v>246</v>
      </c>
      <c r="K203" s="3">
        <v>2.6</v>
      </c>
      <c r="L203" s="3" t="s">
        <v>83</v>
      </c>
      <c r="M203">
        <f t="shared" si="25"/>
        <v>9029</v>
      </c>
      <c r="N203">
        <f t="shared" si="24"/>
        <v>8931.124769984679</v>
      </c>
      <c r="O203">
        <f t="shared" si="21"/>
        <v>246</v>
      </c>
      <c r="P203" s="6">
        <f t="shared" si="22"/>
        <v>2.6321420928739566E-2</v>
      </c>
      <c r="Q203" s="6">
        <f t="shared" si="23"/>
        <v>4.4390673016832978E-2</v>
      </c>
    </row>
    <row r="204" spans="1:17" x14ac:dyDescent="0.25">
      <c r="A204" s="2">
        <v>203</v>
      </c>
      <c r="B204" s="2" t="s">
        <v>22</v>
      </c>
      <c r="C204" s="2" t="s">
        <v>23</v>
      </c>
      <c r="D204" s="2" t="s">
        <v>103</v>
      </c>
      <c r="E204" s="2">
        <v>11</v>
      </c>
      <c r="F204" s="2">
        <v>2023</v>
      </c>
      <c r="G204" s="8" t="s">
        <v>88</v>
      </c>
      <c r="H204" s="2">
        <v>11571</v>
      </c>
      <c r="I204" s="2">
        <v>12144</v>
      </c>
      <c r="J204" s="2">
        <v>-573</v>
      </c>
      <c r="K204" s="2">
        <v>5</v>
      </c>
      <c r="L204" s="2" t="s">
        <v>78</v>
      </c>
      <c r="M204">
        <f t="shared" si="25"/>
        <v>9130</v>
      </c>
      <c r="N204">
        <f t="shared" si="24"/>
        <v>9055.5873389892749</v>
      </c>
      <c r="O204">
        <f t="shared" si="21"/>
        <v>573</v>
      </c>
      <c r="P204" s="6">
        <f t="shared" si="22"/>
        <v>4.952035260565206E-2</v>
      </c>
      <c r="Q204" s="6">
        <f t="shared" si="23"/>
        <v>0.21738939253398368</v>
      </c>
    </row>
    <row r="205" spans="1:17" x14ac:dyDescent="0.25">
      <c r="A205" s="3">
        <v>204</v>
      </c>
      <c r="B205" s="3" t="s">
        <v>22</v>
      </c>
      <c r="C205" s="3" t="s">
        <v>23</v>
      </c>
      <c r="D205" s="3" t="s">
        <v>103</v>
      </c>
      <c r="E205" s="3">
        <v>12</v>
      </c>
      <c r="F205" s="3">
        <v>2023</v>
      </c>
      <c r="G205" s="9" t="s">
        <v>89</v>
      </c>
      <c r="H205" s="3">
        <v>12514</v>
      </c>
      <c r="I205" s="3">
        <v>11672</v>
      </c>
      <c r="J205" s="3">
        <v>842</v>
      </c>
      <c r="K205" s="3">
        <v>6.7</v>
      </c>
      <c r="L205" s="3" t="s">
        <v>76</v>
      </c>
      <c r="M205">
        <f t="shared" si="25"/>
        <v>10026.666666666666</v>
      </c>
      <c r="N205">
        <f t="shared" si="24"/>
        <v>9810.2111372924919</v>
      </c>
      <c r="O205">
        <f t="shared" si="21"/>
        <v>842</v>
      </c>
      <c r="P205" s="6">
        <f t="shared" si="22"/>
        <v>6.7284641201853929E-2</v>
      </c>
      <c r="Q205" s="6">
        <f t="shared" si="23"/>
        <v>0.21606112056157167</v>
      </c>
    </row>
    <row r="206" spans="1:17" x14ac:dyDescent="0.25">
      <c r="A206" s="2">
        <v>205</v>
      </c>
      <c r="B206" s="2" t="s">
        <v>22</v>
      </c>
      <c r="C206" s="2" t="s">
        <v>23</v>
      </c>
      <c r="D206" s="2" t="s">
        <v>103</v>
      </c>
      <c r="E206" s="2">
        <v>1</v>
      </c>
      <c r="F206" s="2">
        <v>2024</v>
      </c>
      <c r="G206" s="8" t="s">
        <v>90</v>
      </c>
      <c r="H206" s="2">
        <v>6949</v>
      </c>
      <c r="I206" s="2">
        <v>6289</v>
      </c>
      <c r="J206" s="2">
        <v>660</v>
      </c>
      <c r="K206" s="2">
        <v>9.5</v>
      </c>
      <c r="L206" s="2" t="s">
        <v>76</v>
      </c>
      <c r="M206">
        <f t="shared" si="25"/>
        <v>11143.666666666666</v>
      </c>
      <c r="N206">
        <f t="shared" si="24"/>
        <v>10621.347796104743</v>
      </c>
      <c r="O206">
        <f t="shared" si="21"/>
        <v>660</v>
      </c>
      <c r="P206" s="6">
        <f t="shared" si="22"/>
        <v>9.4977694632321197E-2</v>
      </c>
      <c r="Q206" s="6">
        <f t="shared" si="23"/>
        <v>0.52847140539714244</v>
      </c>
    </row>
    <row r="207" spans="1:17" x14ac:dyDescent="0.25">
      <c r="A207" s="3">
        <v>206</v>
      </c>
      <c r="B207" s="3" t="s">
        <v>22</v>
      </c>
      <c r="C207" s="3" t="s">
        <v>23</v>
      </c>
      <c r="D207" s="3" t="s">
        <v>103</v>
      </c>
      <c r="E207" s="3">
        <v>2</v>
      </c>
      <c r="F207" s="3">
        <v>2024</v>
      </c>
      <c r="G207" s="9" t="s">
        <v>91</v>
      </c>
      <c r="H207" s="3">
        <v>7535</v>
      </c>
      <c r="I207" s="3">
        <v>8149</v>
      </c>
      <c r="J207" s="3">
        <v>-614</v>
      </c>
      <c r="K207" s="3">
        <v>8.1</v>
      </c>
      <c r="L207" s="3" t="s">
        <v>76</v>
      </c>
      <c r="M207">
        <f t="shared" si="25"/>
        <v>10344.666666666666</v>
      </c>
      <c r="N207">
        <f t="shared" si="24"/>
        <v>9519.6434572733197</v>
      </c>
      <c r="O207">
        <f t="shared" si="21"/>
        <v>614</v>
      </c>
      <c r="P207" s="6">
        <f t="shared" si="22"/>
        <v>8.1486396814863971E-2</v>
      </c>
      <c r="Q207" s="6">
        <f t="shared" si="23"/>
        <v>0.26338997442247108</v>
      </c>
    </row>
    <row r="208" spans="1:17" x14ac:dyDescent="0.25">
      <c r="A208" s="2">
        <v>207</v>
      </c>
      <c r="B208" s="2" t="s">
        <v>22</v>
      </c>
      <c r="C208" s="2" t="s">
        <v>23</v>
      </c>
      <c r="D208" s="2" t="s">
        <v>103</v>
      </c>
      <c r="E208" s="2">
        <v>3</v>
      </c>
      <c r="F208" s="2">
        <v>2024</v>
      </c>
      <c r="G208" s="8" t="s">
        <v>92</v>
      </c>
      <c r="H208" s="2">
        <v>8361</v>
      </c>
      <c r="I208" s="2">
        <v>8720</v>
      </c>
      <c r="J208" s="2">
        <v>-359</v>
      </c>
      <c r="K208" s="2">
        <v>4.3</v>
      </c>
      <c r="L208" s="2" t="s">
        <v>78</v>
      </c>
      <c r="M208">
        <f t="shared" si="25"/>
        <v>8999.3333333333339</v>
      </c>
      <c r="N208">
        <f t="shared" si="24"/>
        <v>8924.2504200913245</v>
      </c>
      <c r="O208">
        <f t="shared" si="21"/>
        <v>359</v>
      </c>
      <c r="P208" s="6">
        <f t="shared" si="22"/>
        <v>4.2937447673723241E-2</v>
      </c>
      <c r="Q208" s="6">
        <f t="shared" si="23"/>
        <v>6.7366393982935591E-2</v>
      </c>
    </row>
    <row r="209" spans="1:17" x14ac:dyDescent="0.25">
      <c r="A209" s="3">
        <v>208</v>
      </c>
      <c r="B209" s="3" t="s">
        <v>22</v>
      </c>
      <c r="C209" s="3" t="s">
        <v>23</v>
      </c>
      <c r="D209" s="3" t="s">
        <v>103</v>
      </c>
      <c r="E209" s="3">
        <v>4</v>
      </c>
      <c r="F209" s="3">
        <v>2024</v>
      </c>
      <c r="G209" s="9" t="s">
        <v>93</v>
      </c>
      <c r="H209" s="3">
        <v>9224</v>
      </c>
      <c r="I209" s="3">
        <v>9833</v>
      </c>
      <c r="J209" s="3">
        <v>-609</v>
      </c>
      <c r="K209" s="3">
        <v>6.6</v>
      </c>
      <c r="L209" s="3" t="s">
        <v>78</v>
      </c>
      <c r="M209">
        <f t="shared" si="25"/>
        <v>7615</v>
      </c>
      <c r="N209">
        <f t="shared" si="24"/>
        <v>8755.2752940639257</v>
      </c>
      <c r="O209">
        <f t="shared" si="21"/>
        <v>609</v>
      </c>
      <c r="P209" s="6">
        <f t="shared" si="22"/>
        <v>6.6023417172593232E-2</v>
      </c>
      <c r="Q209" s="6">
        <f t="shared" si="23"/>
        <v>5.0815774711196263E-2</v>
      </c>
    </row>
    <row r="210" spans="1:17" x14ac:dyDescent="0.25">
      <c r="A210" s="2">
        <v>209</v>
      </c>
      <c r="B210" s="2" t="s">
        <v>22</v>
      </c>
      <c r="C210" s="2" t="s">
        <v>23</v>
      </c>
      <c r="D210" s="2" t="s">
        <v>103</v>
      </c>
      <c r="E210" s="2">
        <v>5</v>
      </c>
      <c r="F210" s="2">
        <v>2024</v>
      </c>
      <c r="G210" s="8" t="s">
        <v>94</v>
      </c>
      <c r="H210" s="2">
        <v>8570</v>
      </c>
      <c r="I210" s="2">
        <v>9037</v>
      </c>
      <c r="J210" s="2">
        <v>-467</v>
      </c>
      <c r="K210" s="2">
        <v>5.4</v>
      </c>
      <c r="L210" s="2" t="s">
        <v>83</v>
      </c>
      <c r="M210">
        <f t="shared" si="25"/>
        <v>8373.3333333333339</v>
      </c>
      <c r="N210">
        <f t="shared" si="24"/>
        <v>8895.892705844748</v>
      </c>
      <c r="O210">
        <f t="shared" si="21"/>
        <v>467</v>
      </c>
      <c r="P210" s="6">
        <f t="shared" si="22"/>
        <v>5.4492415402567093E-2</v>
      </c>
      <c r="Q210" s="6">
        <f t="shared" si="23"/>
        <v>3.8027153540810731E-2</v>
      </c>
    </row>
    <row r="211" spans="1:17" x14ac:dyDescent="0.25">
      <c r="A211" s="3">
        <v>210</v>
      </c>
      <c r="B211" s="3" t="s">
        <v>22</v>
      </c>
      <c r="C211" s="3" t="s">
        <v>23</v>
      </c>
      <c r="D211" s="3" t="s">
        <v>103</v>
      </c>
      <c r="E211" s="3">
        <v>6</v>
      </c>
      <c r="F211" s="3">
        <v>2024</v>
      </c>
      <c r="G211" s="9" t="s">
        <v>95</v>
      </c>
      <c r="H211" s="3">
        <v>10166</v>
      </c>
      <c r="I211" s="3">
        <v>9395</v>
      </c>
      <c r="J211" s="3">
        <v>771</v>
      </c>
      <c r="K211" s="3">
        <v>7.6</v>
      </c>
      <c r="L211" s="3" t="s">
        <v>83</v>
      </c>
      <c r="M211">
        <f t="shared" si="25"/>
        <v>8718.3333333333339</v>
      </c>
      <c r="N211">
        <f t="shared" si="24"/>
        <v>8798.1248940913229</v>
      </c>
      <c r="O211">
        <f t="shared" si="21"/>
        <v>771</v>
      </c>
      <c r="P211" s="6">
        <f t="shared" si="22"/>
        <v>7.5841038756639778E-2</v>
      </c>
      <c r="Q211" s="6">
        <f t="shared" si="23"/>
        <v>0.13455391559203986</v>
      </c>
    </row>
    <row r="212" spans="1:17" x14ac:dyDescent="0.25">
      <c r="A212" s="2">
        <v>211</v>
      </c>
      <c r="B212" s="2" t="s">
        <v>22</v>
      </c>
      <c r="C212" s="2" t="s">
        <v>23</v>
      </c>
      <c r="D212" s="2" t="s">
        <v>103</v>
      </c>
      <c r="E212" s="2">
        <v>7</v>
      </c>
      <c r="F212" s="2">
        <v>2024</v>
      </c>
      <c r="G212" s="8" t="s">
        <v>96</v>
      </c>
      <c r="H212" s="2">
        <v>10408</v>
      </c>
      <c r="I212" s="2">
        <v>10089</v>
      </c>
      <c r="J212" s="2">
        <v>319</v>
      </c>
      <c r="K212" s="2">
        <v>3.1</v>
      </c>
      <c r="L212" s="2" t="s">
        <v>76</v>
      </c>
      <c r="M212">
        <f t="shared" si="25"/>
        <v>9320</v>
      </c>
      <c r="N212">
        <f t="shared" si="24"/>
        <v>9208.4874258639247</v>
      </c>
      <c r="O212">
        <f t="shared" si="21"/>
        <v>319</v>
      </c>
      <c r="P212" s="6">
        <f t="shared" si="22"/>
        <v>3.0649500384319753E-2</v>
      </c>
      <c r="Q212" s="6">
        <f t="shared" si="23"/>
        <v>0.11524909436357372</v>
      </c>
    </row>
    <row r="213" spans="1:17" x14ac:dyDescent="0.25">
      <c r="A213" s="3">
        <v>212</v>
      </c>
      <c r="B213" s="3" t="s">
        <v>22</v>
      </c>
      <c r="C213" s="3" t="s">
        <v>23</v>
      </c>
      <c r="D213" s="3" t="s">
        <v>103</v>
      </c>
      <c r="E213" s="3">
        <v>8</v>
      </c>
      <c r="F213" s="3">
        <v>2024</v>
      </c>
      <c r="G213" s="9" t="s">
        <v>97</v>
      </c>
      <c r="H213" s="3">
        <v>9843</v>
      </c>
      <c r="I213" s="3">
        <v>8994</v>
      </c>
      <c r="J213" s="3">
        <v>849</v>
      </c>
      <c r="K213" s="3">
        <v>8.6</v>
      </c>
      <c r="L213" s="3" t="s">
        <v>83</v>
      </c>
      <c r="M213">
        <f t="shared" si="25"/>
        <v>9714.6666666666661</v>
      </c>
      <c r="N213">
        <f t="shared" si="24"/>
        <v>9568.3411981047466</v>
      </c>
      <c r="O213">
        <f t="shared" si="21"/>
        <v>849</v>
      </c>
      <c r="P213" s="6">
        <f t="shared" si="22"/>
        <v>8.6254190795489183E-2</v>
      </c>
      <c r="Q213" s="6">
        <f t="shared" si="23"/>
        <v>2.7903972558696883E-2</v>
      </c>
    </row>
    <row r="214" spans="1:17" x14ac:dyDescent="0.25">
      <c r="A214" s="2">
        <v>213</v>
      </c>
      <c r="B214" s="2" t="s">
        <v>22</v>
      </c>
      <c r="C214" s="2" t="s">
        <v>23</v>
      </c>
      <c r="D214" s="2" t="s">
        <v>103</v>
      </c>
      <c r="E214" s="2">
        <v>9</v>
      </c>
      <c r="F214" s="2">
        <v>2024</v>
      </c>
      <c r="G214" s="8" t="s">
        <v>98</v>
      </c>
      <c r="H214" s="2">
        <v>8681</v>
      </c>
      <c r="I214" s="2">
        <v>9287</v>
      </c>
      <c r="J214" s="2">
        <v>-606</v>
      </c>
      <c r="K214" s="2">
        <v>7</v>
      </c>
      <c r="L214" s="2" t="s">
        <v>76</v>
      </c>
      <c r="M214">
        <f t="shared" si="25"/>
        <v>10139</v>
      </c>
      <c r="N214">
        <f t="shared" si="24"/>
        <v>9650.7388386733219</v>
      </c>
      <c r="O214">
        <f t="shared" si="21"/>
        <v>606</v>
      </c>
      <c r="P214" s="6">
        <f t="shared" si="22"/>
        <v>6.9807625849556507E-2</v>
      </c>
      <c r="Q214" s="6">
        <f t="shared" si="23"/>
        <v>0.11170819475559519</v>
      </c>
    </row>
    <row r="215" spans="1:17" x14ac:dyDescent="0.25">
      <c r="A215" s="3">
        <v>214</v>
      </c>
      <c r="B215" s="3" t="s">
        <v>22</v>
      </c>
      <c r="C215" s="3" t="s">
        <v>23</v>
      </c>
      <c r="D215" s="3" t="s">
        <v>103</v>
      </c>
      <c r="E215" s="3">
        <v>10</v>
      </c>
      <c r="F215" s="3">
        <v>2024</v>
      </c>
      <c r="G215" s="9" t="s">
        <v>99</v>
      </c>
      <c r="H215" s="3">
        <v>8987</v>
      </c>
      <c r="I215" s="3">
        <v>9815</v>
      </c>
      <c r="J215" s="3">
        <v>-828</v>
      </c>
      <c r="K215" s="3">
        <v>9.1999999999999993</v>
      </c>
      <c r="L215" s="3" t="s">
        <v>83</v>
      </c>
      <c r="M215">
        <f t="shared" si="25"/>
        <v>9644</v>
      </c>
      <c r="N215">
        <f t="shared" si="24"/>
        <v>9359.817187071325</v>
      </c>
      <c r="O215">
        <f t="shared" si="21"/>
        <v>828</v>
      </c>
      <c r="P215" s="6">
        <f t="shared" si="22"/>
        <v>9.2133081117169238E-2</v>
      </c>
      <c r="Q215" s="6">
        <f t="shared" si="23"/>
        <v>4.1484053307146426E-2</v>
      </c>
    </row>
    <row r="216" spans="1:17" x14ac:dyDescent="0.25">
      <c r="A216" s="2">
        <v>215</v>
      </c>
      <c r="B216" s="2" t="s">
        <v>22</v>
      </c>
      <c r="C216" s="2" t="s">
        <v>23</v>
      </c>
      <c r="D216" s="2" t="s">
        <v>103</v>
      </c>
      <c r="E216" s="2">
        <v>11</v>
      </c>
      <c r="F216" s="2">
        <v>2024</v>
      </c>
      <c r="G216" s="8" t="s">
        <v>100</v>
      </c>
      <c r="H216" s="2">
        <v>12341</v>
      </c>
      <c r="I216" s="2">
        <v>12241</v>
      </c>
      <c r="J216" s="2">
        <v>100</v>
      </c>
      <c r="K216" s="2">
        <v>0.8</v>
      </c>
      <c r="L216" s="2" t="s">
        <v>78</v>
      </c>
      <c r="M216">
        <f t="shared" si="25"/>
        <v>9170.3333333333339</v>
      </c>
      <c r="N216">
        <f t="shared" si="24"/>
        <v>9247.9720309499262</v>
      </c>
      <c r="O216">
        <f t="shared" si="21"/>
        <v>100</v>
      </c>
      <c r="P216" s="6">
        <f t="shared" si="22"/>
        <v>8.1030710639332301E-3</v>
      </c>
      <c r="Q216" s="6">
        <f t="shared" si="23"/>
        <v>0.25063025435945824</v>
      </c>
    </row>
    <row r="217" spans="1:17" x14ac:dyDescent="0.25">
      <c r="A217" s="3">
        <v>216</v>
      </c>
      <c r="B217" s="3" t="s">
        <v>22</v>
      </c>
      <c r="C217" s="3" t="s">
        <v>23</v>
      </c>
      <c r="D217" s="3" t="s">
        <v>103</v>
      </c>
      <c r="E217" s="3">
        <v>12</v>
      </c>
      <c r="F217" s="3">
        <v>2024</v>
      </c>
      <c r="G217" s="9" t="s">
        <v>101</v>
      </c>
      <c r="H217" s="3">
        <v>11550</v>
      </c>
      <c r="I217" s="3">
        <v>12090</v>
      </c>
      <c r="J217" s="3">
        <v>-540</v>
      </c>
      <c r="K217" s="3">
        <v>4.7</v>
      </c>
      <c r="L217" s="3" t="s">
        <v>83</v>
      </c>
      <c r="M217">
        <f t="shared" si="25"/>
        <v>10003</v>
      </c>
      <c r="N217">
        <f t="shared" si="24"/>
        <v>10175.880421664948</v>
      </c>
      <c r="O217">
        <f t="shared" si="21"/>
        <v>540</v>
      </c>
      <c r="P217" s="6">
        <f t="shared" si="22"/>
        <v>4.6753246753246755E-2</v>
      </c>
      <c r="Q217" s="6">
        <f t="shared" si="23"/>
        <v>0.11897139206364088</v>
      </c>
    </row>
    <row r="218" spans="1:17" x14ac:dyDescent="0.25">
      <c r="A218" s="2">
        <v>217</v>
      </c>
      <c r="B218" s="2" t="s">
        <v>27</v>
      </c>
      <c r="C218" s="2" t="s">
        <v>28</v>
      </c>
      <c r="D218" s="2" t="s">
        <v>74</v>
      </c>
      <c r="E218" s="2">
        <v>1</v>
      </c>
      <c r="F218" s="2">
        <v>2023</v>
      </c>
      <c r="G218" s="8" t="s">
        <v>75</v>
      </c>
      <c r="H218" s="2">
        <v>2569</v>
      </c>
      <c r="I218" s="2">
        <v>2727</v>
      </c>
      <c r="J218" s="2">
        <v>-158</v>
      </c>
      <c r="K218" s="2">
        <v>6.2</v>
      </c>
      <c r="L218" s="2" t="s">
        <v>83</v>
      </c>
      <c r="M218">
        <f t="shared" si="25"/>
        <v>10959.333333333334</v>
      </c>
      <c r="N218">
        <f t="shared" si="24"/>
        <v>10588.116295165462</v>
      </c>
      <c r="O218">
        <f t="shared" si="21"/>
        <v>158</v>
      </c>
      <c r="P218" s="6">
        <f t="shared" si="22"/>
        <v>6.1502530167380304E-2</v>
      </c>
      <c r="Q218" s="6">
        <f t="shared" si="23"/>
        <v>3.1214933029059799</v>
      </c>
    </row>
    <row r="219" spans="1:17" x14ac:dyDescent="0.25">
      <c r="A219" s="3">
        <v>218</v>
      </c>
      <c r="B219" s="3" t="s">
        <v>27</v>
      </c>
      <c r="C219" s="3" t="s">
        <v>28</v>
      </c>
      <c r="D219" s="3" t="s">
        <v>74</v>
      </c>
      <c r="E219" s="3">
        <v>2</v>
      </c>
      <c r="F219" s="3">
        <v>2023</v>
      </c>
      <c r="G219" s="9" t="s">
        <v>77</v>
      </c>
      <c r="H219" s="3">
        <v>2796</v>
      </c>
      <c r="I219" s="3">
        <v>2776</v>
      </c>
      <c r="J219" s="3">
        <v>20</v>
      </c>
      <c r="K219" s="3">
        <v>0.7</v>
      </c>
      <c r="L219" s="3" t="s">
        <v>83</v>
      </c>
      <c r="M219">
        <f t="shared" si="25"/>
        <v>8820</v>
      </c>
      <c r="N219">
        <f t="shared" si="24"/>
        <v>8182.3814066158229</v>
      </c>
      <c r="O219">
        <f t="shared" si="21"/>
        <v>20</v>
      </c>
      <c r="P219" s="6">
        <f t="shared" si="22"/>
        <v>7.1530758226037196E-3</v>
      </c>
      <c r="Q219" s="6">
        <f t="shared" si="23"/>
        <v>1.926459730549293</v>
      </c>
    </row>
    <row r="220" spans="1:17" x14ac:dyDescent="0.25">
      <c r="A220" s="2">
        <v>219</v>
      </c>
      <c r="B220" s="2" t="s">
        <v>27</v>
      </c>
      <c r="C220" s="2" t="s">
        <v>28</v>
      </c>
      <c r="D220" s="2" t="s">
        <v>74</v>
      </c>
      <c r="E220" s="2">
        <v>3</v>
      </c>
      <c r="F220" s="2">
        <v>2023</v>
      </c>
      <c r="G220" s="8" t="s">
        <v>79</v>
      </c>
      <c r="H220" s="2">
        <v>3107</v>
      </c>
      <c r="I220" s="2">
        <v>2996</v>
      </c>
      <c r="J220" s="2">
        <v>111</v>
      </c>
      <c r="K220" s="2">
        <v>3.6</v>
      </c>
      <c r="L220" s="2" t="s">
        <v>78</v>
      </c>
      <c r="M220">
        <f t="shared" si="25"/>
        <v>5638.333333333333</v>
      </c>
      <c r="N220">
        <f t="shared" si="24"/>
        <v>6566.4669846310762</v>
      </c>
      <c r="O220">
        <f t="shared" si="21"/>
        <v>111</v>
      </c>
      <c r="P220" s="6">
        <f t="shared" si="22"/>
        <v>3.5725780495654974E-2</v>
      </c>
      <c r="Q220" s="6">
        <f t="shared" si="23"/>
        <v>1.113442865990047</v>
      </c>
    </row>
    <row r="221" spans="1:17" x14ac:dyDescent="0.25">
      <c r="A221" s="3">
        <v>220</v>
      </c>
      <c r="B221" s="3" t="s">
        <v>27</v>
      </c>
      <c r="C221" s="3" t="s">
        <v>28</v>
      </c>
      <c r="D221" s="3" t="s">
        <v>74</v>
      </c>
      <c r="E221" s="3">
        <v>4</v>
      </c>
      <c r="F221" s="3">
        <v>2023</v>
      </c>
      <c r="G221" s="9" t="s">
        <v>80</v>
      </c>
      <c r="H221" s="3">
        <v>3454</v>
      </c>
      <c r="I221" s="3">
        <v>3168</v>
      </c>
      <c r="J221" s="3">
        <v>286</v>
      </c>
      <c r="K221" s="3">
        <v>8.3000000000000007</v>
      </c>
      <c r="L221" s="3" t="s">
        <v>76</v>
      </c>
      <c r="M221">
        <f t="shared" si="25"/>
        <v>2824</v>
      </c>
      <c r="N221">
        <f t="shared" si="24"/>
        <v>5528.6268892417538</v>
      </c>
      <c r="O221">
        <f t="shared" si="21"/>
        <v>286</v>
      </c>
      <c r="P221" s="6">
        <f t="shared" si="22"/>
        <v>8.2802547770700632E-2</v>
      </c>
      <c r="Q221" s="6">
        <f t="shared" si="23"/>
        <v>0.60064472763223908</v>
      </c>
    </row>
    <row r="222" spans="1:17" x14ac:dyDescent="0.25">
      <c r="A222" s="2">
        <v>221</v>
      </c>
      <c r="B222" s="2" t="s">
        <v>27</v>
      </c>
      <c r="C222" s="2" t="s">
        <v>28</v>
      </c>
      <c r="D222" s="2" t="s">
        <v>74</v>
      </c>
      <c r="E222" s="2">
        <v>5</v>
      </c>
      <c r="F222" s="2">
        <v>2023</v>
      </c>
      <c r="G222" s="8" t="s">
        <v>81</v>
      </c>
      <c r="H222" s="2">
        <v>3153</v>
      </c>
      <c r="I222" s="2">
        <v>3130</v>
      </c>
      <c r="J222" s="2">
        <v>23</v>
      </c>
      <c r="K222" s="2">
        <v>0.7</v>
      </c>
      <c r="L222" s="2" t="s">
        <v>83</v>
      </c>
      <c r="M222">
        <f t="shared" si="25"/>
        <v>3119</v>
      </c>
      <c r="N222">
        <f t="shared" si="24"/>
        <v>4906.2388224692277</v>
      </c>
      <c r="O222">
        <f t="shared" si="21"/>
        <v>23</v>
      </c>
      <c r="P222" s="6">
        <f t="shared" si="22"/>
        <v>7.2946400253726612E-3</v>
      </c>
      <c r="Q222" s="6">
        <f t="shared" si="23"/>
        <v>0.55605417775744614</v>
      </c>
    </row>
    <row r="223" spans="1:17" x14ac:dyDescent="0.25">
      <c r="A223" s="3">
        <v>222</v>
      </c>
      <c r="B223" s="3" t="s">
        <v>27</v>
      </c>
      <c r="C223" s="3" t="s">
        <v>28</v>
      </c>
      <c r="D223" s="3" t="s">
        <v>74</v>
      </c>
      <c r="E223" s="3">
        <v>6</v>
      </c>
      <c r="F223" s="3">
        <v>2023</v>
      </c>
      <c r="G223" s="9" t="s">
        <v>82</v>
      </c>
      <c r="H223" s="3">
        <v>3662</v>
      </c>
      <c r="I223" s="3">
        <v>3542</v>
      </c>
      <c r="J223" s="3">
        <v>120</v>
      </c>
      <c r="K223" s="3">
        <v>3.3</v>
      </c>
      <c r="L223" s="3" t="s">
        <v>76</v>
      </c>
      <c r="M223">
        <f t="shared" si="25"/>
        <v>3238</v>
      </c>
      <c r="N223">
        <f t="shared" si="24"/>
        <v>4380.2671757284588</v>
      </c>
      <c r="O223">
        <f t="shared" si="21"/>
        <v>120</v>
      </c>
      <c r="P223" s="6">
        <f t="shared" si="22"/>
        <v>3.2768978700163848E-2</v>
      </c>
      <c r="Q223" s="6">
        <f t="shared" si="23"/>
        <v>0.1961406815206059</v>
      </c>
    </row>
    <row r="224" spans="1:17" x14ac:dyDescent="0.25">
      <c r="A224" s="2">
        <v>223</v>
      </c>
      <c r="B224" s="2" t="s">
        <v>27</v>
      </c>
      <c r="C224" s="2" t="s">
        <v>28</v>
      </c>
      <c r="D224" s="2" t="s">
        <v>74</v>
      </c>
      <c r="E224" s="2">
        <v>7</v>
      </c>
      <c r="F224" s="2">
        <v>2023</v>
      </c>
      <c r="G224" s="8" t="s">
        <v>84</v>
      </c>
      <c r="H224" s="2">
        <v>3747</v>
      </c>
      <c r="I224" s="2">
        <v>3508</v>
      </c>
      <c r="J224" s="2">
        <v>239</v>
      </c>
      <c r="K224" s="2">
        <v>6.4</v>
      </c>
      <c r="L224" s="2" t="s">
        <v>78</v>
      </c>
      <c r="M224">
        <f t="shared" si="25"/>
        <v>3423</v>
      </c>
      <c r="N224">
        <f t="shared" si="24"/>
        <v>4164.7870230099215</v>
      </c>
      <c r="O224">
        <f t="shared" si="21"/>
        <v>239</v>
      </c>
      <c r="P224" s="6">
        <f t="shared" si="22"/>
        <v>6.3784360821990932E-2</v>
      </c>
      <c r="Q224" s="6">
        <f t="shared" si="23"/>
        <v>0.11149907206029398</v>
      </c>
    </row>
    <row r="225" spans="1:17" x14ac:dyDescent="0.25">
      <c r="A225" s="3">
        <v>224</v>
      </c>
      <c r="B225" s="3" t="s">
        <v>27</v>
      </c>
      <c r="C225" s="3" t="s">
        <v>28</v>
      </c>
      <c r="D225" s="3" t="s">
        <v>74</v>
      </c>
      <c r="E225" s="3">
        <v>8</v>
      </c>
      <c r="F225" s="3">
        <v>2023</v>
      </c>
      <c r="G225" s="9" t="s">
        <v>85</v>
      </c>
      <c r="H225" s="3">
        <v>3242</v>
      </c>
      <c r="I225" s="3">
        <v>3085</v>
      </c>
      <c r="J225" s="3">
        <v>157</v>
      </c>
      <c r="K225" s="3">
        <v>4.8</v>
      </c>
      <c r="L225" s="3" t="s">
        <v>76</v>
      </c>
      <c r="M225">
        <f t="shared" si="25"/>
        <v>3520.6666666666665</v>
      </c>
      <c r="N225">
        <f t="shared" si="24"/>
        <v>4039.450916106945</v>
      </c>
      <c r="O225">
        <f t="shared" si="21"/>
        <v>157</v>
      </c>
      <c r="P225" s="6">
        <f t="shared" si="22"/>
        <v>4.8426896977174581E-2</v>
      </c>
      <c r="Q225" s="6">
        <f t="shared" si="23"/>
        <v>0.24597498954563388</v>
      </c>
    </row>
    <row r="226" spans="1:17" x14ac:dyDescent="0.25">
      <c r="A226" s="2">
        <v>225</v>
      </c>
      <c r="B226" s="2" t="s">
        <v>27</v>
      </c>
      <c r="C226" s="2" t="s">
        <v>28</v>
      </c>
      <c r="D226" s="2" t="s">
        <v>74</v>
      </c>
      <c r="E226" s="2">
        <v>9</v>
      </c>
      <c r="F226" s="2">
        <v>2023</v>
      </c>
      <c r="G226" s="8" t="s">
        <v>86</v>
      </c>
      <c r="H226" s="2">
        <v>3492</v>
      </c>
      <c r="I226" s="2">
        <v>3632</v>
      </c>
      <c r="J226" s="2">
        <v>-140</v>
      </c>
      <c r="K226" s="2">
        <v>4</v>
      </c>
      <c r="L226" s="2" t="s">
        <v>76</v>
      </c>
      <c r="M226">
        <f t="shared" si="25"/>
        <v>3550.3333333333335</v>
      </c>
      <c r="N226">
        <f t="shared" si="24"/>
        <v>3800.2156412748614</v>
      </c>
      <c r="O226">
        <f t="shared" si="21"/>
        <v>140</v>
      </c>
      <c r="P226" s="6">
        <f t="shared" si="22"/>
        <v>4.0091638029782363E-2</v>
      </c>
      <c r="Q226" s="6">
        <f t="shared" si="23"/>
        <v>8.8263356607921353E-2</v>
      </c>
    </row>
    <row r="227" spans="1:17" x14ac:dyDescent="0.25">
      <c r="A227" s="3">
        <v>226</v>
      </c>
      <c r="B227" s="3" t="s">
        <v>27</v>
      </c>
      <c r="C227" s="3" t="s">
        <v>28</v>
      </c>
      <c r="D227" s="3" t="s">
        <v>74</v>
      </c>
      <c r="E227" s="3">
        <v>10</v>
      </c>
      <c r="F227" s="3">
        <v>2023</v>
      </c>
      <c r="G227" s="9" t="s">
        <v>87</v>
      </c>
      <c r="H227" s="3">
        <v>3567</v>
      </c>
      <c r="I227" s="3">
        <v>3578</v>
      </c>
      <c r="J227" s="3">
        <v>-11</v>
      </c>
      <c r="K227" s="3">
        <v>0.3</v>
      </c>
      <c r="L227" s="3" t="s">
        <v>78</v>
      </c>
      <c r="M227">
        <f t="shared" si="25"/>
        <v>3493.6666666666665</v>
      </c>
      <c r="N227">
        <f t="shared" si="24"/>
        <v>3707.7509488924029</v>
      </c>
      <c r="O227">
        <f t="shared" si="21"/>
        <v>11</v>
      </c>
      <c r="P227" s="6">
        <f t="shared" si="22"/>
        <v>3.0838239416876925E-3</v>
      </c>
      <c r="Q227" s="6">
        <f t="shared" si="23"/>
        <v>3.9459195091786629E-2</v>
      </c>
    </row>
    <row r="228" spans="1:17" x14ac:dyDescent="0.25">
      <c r="A228" s="2">
        <v>227</v>
      </c>
      <c r="B228" s="2" t="s">
        <v>27</v>
      </c>
      <c r="C228" s="2" t="s">
        <v>28</v>
      </c>
      <c r="D228" s="2" t="s">
        <v>74</v>
      </c>
      <c r="E228" s="2">
        <v>11</v>
      </c>
      <c r="F228" s="2">
        <v>2023</v>
      </c>
      <c r="G228" s="8" t="s">
        <v>88</v>
      </c>
      <c r="H228" s="2">
        <v>3602</v>
      </c>
      <c r="I228" s="2">
        <v>3760</v>
      </c>
      <c r="J228" s="2">
        <v>-158</v>
      </c>
      <c r="K228" s="2">
        <v>4.4000000000000004</v>
      </c>
      <c r="L228" s="2" t="s">
        <v>76</v>
      </c>
      <c r="M228">
        <f t="shared" si="25"/>
        <v>3433.6666666666665</v>
      </c>
      <c r="N228">
        <f t="shared" si="24"/>
        <v>3665.5256642246818</v>
      </c>
      <c r="O228">
        <f t="shared" si="21"/>
        <v>158</v>
      </c>
      <c r="P228" s="6">
        <f t="shared" si="22"/>
        <v>4.3864519711271518E-2</v>
      </c>
      <c r="Q228" s="6">
        <f t="shared" si="23"/>
        <v>1.7636219940222599E-2</v>
      </c>
    </row>
    <row r="229" spans="1:17" x14ac:dyDescent="0.25">
      <c r="A229" s="3">
        <v>228</v>
      </c>
      <c r="B229" s="3" t="s">
        <v>27</v>
      </c>
      <c r="C229" s="3" t="s">
        <v>28</v>
      </c>
      <c r="D229" s="3" t="s">
        <v>74</v>
      </c>
      <c r="E229" s="3">
        <v>12</v>
      </c>
      <c r="F229" s="3">
        <v>2023</v>
      </c>
      <c r="G229" s="9" t="s">
        <v>89</v>
      </c>
      <c r="H229" s="3">
        <v>4215</v>
      </c>
      <c r="I229" s="3">
        <v>3996</v>
      </c>
      <c r="J229" s="3">
        <v>219</v>
      </c>
      <c r="K229" s="3">
        <v>5.2</v>
      </c>
      <c r="L229" s="3" t="s">
        <v>76</v>
      </c>
      <c r="M229">
        <f t="shared" si="25"/>
        <v>3553.6666666666665</v>
      </c>
      <c r="N229">
        <f t="shared" si="24"/>
        <v>3646.4679649572772</v>
      </c>
      <c r="O229">
        <f t="shared" si="21"/>
        <v>219</v>
      </c>
      <c r="P229" s="6">
        <f t="shared" si="22"/>
        <v>5.1957295373665481E-2</v>
      </c>
      <c r="Q229" s="6">
        <f t="shared" si="23"/>
        <v>0.13488304508724147</v>
      </c>
    </row>
    <row r="230" spans="1:17" x14ac:dyDescent="0.25">
      <c r="A230" s="2">
        <v>229</v>
      </c>
      <c r="B230" s="2" t="s">
        <v>27</v>
      </c>
      <c r="C230" s="2" t="s">
        <v>28</v>
      </c>
      <c r="D230" s="2" t="s">
        <v>74</v>
      </c>
      <c r="E230" s="2">
        <v>1</v>
      </c>
      <c r="F230" s="2">
        <v>2024</v>
      </c>
      <c r="G230" s="8" t="s">
        <v>90</v>
      </c>
      <c r="H230" s="2">
        <v>2815</v>
      </c>
      <c r="I230" s="2">
        <v>2809</v>
      </c>
      <c r="J230" s="2">
        <v>6</v>
      </c>
      <c r="K230" s="2">
        <v>0.2</v>
      </c>
      <c r="L230" s="2" t="s">
        <v>78</v>
      </c>
      <c r="M230">
        <f t="shared" si="25"/>
        <v>3794.6666666666665</v>
      </c>
      <c r="N230">
        <f t="shared" si="24"/>
        <v>3817.0275754700938</v>
      </c>
      <c r="O230">
        <f t="shared" si="21"/>
        <v>6</v>
      </c>
      <c r="P230" s="6">
        <f t="shared" si="22"/>
        <v>2.1314387211367673E-3</v>
      </c>
      <c r="Q230" s="6">
        <f t="shared" si="23"/>
        <v>0.35596006233395872</v>
      </c>
    </row>
    <row r="231" spans="1:17" x14ac:dyDescent="0.25">
      <c r="A231" s="3">
        <v>230</v>
      </c>
      <c r="B231" s="3" t="s">
        <v>27</v>
      </c>
      <c r="C231" s="3" t="s">
        <v>28</v>
      </c>
      <c r="D231" s="3" t="s">
        <v>74</v>
      </c>
      <c r="E231" s="3">
        <v>2</v>
      </c>
      <c r="F231" s="3">
        <v>2024</v>
      </c>
      <c r="G231" s="9" t="s">
        <v>91</v>
      </c>
      <c r="H231" s="3">
        <v>2367</v>
      </c>
      <c r="I231" s="3">
        <v>2235</v>
      </c>
      <c r="J231" s="3">
        <v>132</v>
      </c>
      <c r="K231" s="3">
        <v>5.6</v>
      </c>
      <c r="L231" s="3" t="s">
        <v>83</v>
      </c>
      <c r="M231">
        <f t="shared" si="25"/>
        <v>3544</v>
      </c>
      <c r="N231">
        <f t="shared" si="24"/>
        <v>3516.4193028290656</v>
      </c>
      <c r="O231">
        <f t="shared" si="21"/>
        <v>132</v>
      </c>
      <c r="P231" s="6">
        <f t="shared" si="22"/>
        <v>5.5766793409378963E-2</v>
      </c>
      <c r="Q231" s="6">
        <f t="shared" si="23"/>
        <v>0.48560173334561285</v>
      </c>
    </row>
    <row r="232" spans="1:17" x14ac:dyDescent="0.25">
      <c r="A232" s="2">
        <v>231</v>
      </c>
      <c r="B232" s="2" t="s">
        <v>27</v>
      </c>
      <c r="C232" s="2" t="s">
        <v>28</v>
      </c>
      <c r="D232" s="2" t="s">
        <v>74</v>
      </c>
      <c r="E232" s="2">
        <v>3</v>
      </c>
      <c r="F232" s="2">
        <v>2024</v>
      </c>
      <c r="G232" s="8" t="s">
        <v>92</v>
      </c>
      <c r="H232" s="2">
        <v>2852</v>
      </c>
      <c r="I232" s="2">
        <v>2945</v>
      </c>
      <c r="J232" s="2">
        <v>-93</v>
      </c>
      <c r="K232" s="2">
        <v>3.3</v>
      </c>
      <c r="L232" s="2" t="s">
        <v>76</v>
      </c>
      <c r="M232">
        <f t="shared" si="25"/>
        <v>3132.3333333333335</v>
      </c>
      <c r="N232">
        <f t="shared" si="24"/>
        <v>3171.5935119803457</v>
      </c>
      <c r="O232">
        <f t="shared" si="21"/>
        <v>93</v>
      </c>
      <c r="P232" s="6">
        <f t="shared" si="22"/>
        <v>3.2608695652173912E-2</v>
      </c>
      <c r="Q232" s="6">
        <f t="shared" si="23"/>
        <v>0.11205943617824185</v>
      </c>
    </row>
    <row r="233" spans="1:17" x14ac:dyDescent="0.25">
      <c r="A233" s="3">
        <v>232</v>
      </c>
      <c r="B233" s="3" t="s">
        <v>27</v>
      </c>
      <c r="C233" s="3" t="s">
        <v>28</v>
      </c>
      <c r="D233" s="3" t="s">
        <v>74</v>
      </c>
      <c r="E233" s="3">
        <v>4</v>
      </c>
      <c r="F233" s="3">
        <v>2024</v>
      </c>
      <c r="G233" s="9" t="s">
        <v>93</v>
      </c>
      <c r="H233" s="3">
        <v>3179</v>
      </c>
      <c r="I233" s="3">
        <v>3198</v>
      </c>
      <c r="J233" s="3">
        <v>-19</v>
      </c>
      <c r="K233" s="3">
        <v>0.6</v>
      </c>
      <c r="L233" s="3" t="s">
        <v>76</v>
      </c>
      <c r="M233">
        <f t="shared" si="25"/>
        <v>2678</v>
      </c>
      <c r="N233">
        <f t="shared" si="24"/>
        <v>3075.7154583862416</v>
      </c>
      <c r="O233">
        <f t="shared" si="21"/>
        <v>19</v>
      </c>
      <c r="P233" s="6">
        <f t="shared" si="22"/>
        <v>5.9767222396980187E-3</v>
      </c>
      <c r="Q233" s="6">
        <f t="shared" si="23"/>
        <v>3.2489632467366594E-2</v>
      </c>
    </row>
    <row r="234" spans="1:17" x14ac:dyDescent="0.25">
      <c r="A234" s="2">
        <v>233</v>
      </c>
      <c r="B234" s="2" t="s">
        <v>27</v>
      </c>
      <c r="C234" s="2" t="s">
        <v>28</v>
      </c>
      <c r="D234" s="2" t="s">
        <v>74</v>
      </c>
      <c r="E234" s="2">
        <v>5</v>
      </c>
      <c r="F234" s="2">
        <v>2024</v>
      </c>
      <c r="G234" s="8" t="s">
        <v>94</v>
      </c>
      <c r="H234" s="2">
        <v>3760</v>
      </c>
      <c r="I234" s="2">
        <v>3797</v>
      </c>
      <c r="J234" s="2">
        <v>-37</v>
      </c>
      <c r="K234" s="2">
        <v>1</v>
      </c>
      <c r="L234" s="2" t="s">
        <v>76</v>
      </c>
      <c r="M234">
        <f t="shared" si="25"/>
        <v>2799.3333333333335</v>
      </c>
      <c r="N234">
        <f t="shared" si="24"/>
        <v>3106.7008208703687</v>
      </c>
      <c r="O234">
        <f t="shared" si="21"/>
        <v>37</v>
      </c>
      <c r="P234" s="6">
        <f t="shared" si="22"/>
        <v>9.8404255319148939E-3</v>
      </c>
      <c r="Q234" s="6">
        <f t="shared" si="23"/>
        <v>0.17374978168341257</v>
      </c>
    </row>
    <row r="235" spans="1:17" x14ac:dyDescent="0.25">
      <c r="A235" s="3">
        <v>234</v>
      </c>
      <c r="B235" s="3" t="s">
        <v>27</v>
      </c>
      <c r="C235" s="3" t="s">
        <v>28</v>
      </c>
      <c r="D235" s="3" t="s">
        <v>74</v>
      </c>
      <c r="E235" s="3">
        <v>6</v>
      </c>
      <c r="F235" s="3">
        <v>2024</v>
      </c>
      <c r="G235" s="9" t="s">
        <v>95</v>
      </c>
      <c r="H235" s="3">
        <v>3691</v>
      </c>
      <c r="I235" s="3">
        <v>3521</v>
      </c>
      <c r="J235" s="3">
        <v>170</v>
      </c>
      <c r="K235" s="3">
        <v>4.5999999999999996</v>
      </c>
      <c r="L235" s="3" t="s">
        <v>76</v>
      </c>
      <c r="M235">
        <f t="shared" si="25"/>
        <v>3263.6666666666665</v>
      </c>
      <c r="N235">
        <f t="shared" si="24"/>
        <v>3302.690574609258</v>
      </c>
      <c r="O235">
        <f t="shared" si="21"/>
        <v>170</v>
      </c>
      <c r="P235" s="6">
        <f t="shared" si="22"/>
        <v>4.605797886751558E-2</v>
      </c>
      <c r="Q235" s="6">
        <f t="shared" si="23"/>
        <v>0.10520439593355244</v>
      </c>
    </row>
    <row r="236" spans="1:17" x14ac:dyDescent="0.25">
      <c r="A236" s="2">
        <v>235</v>
      </c>
      <c r="B236" s="2" t="s">
        <v>27</v>
      </c>
      <c r="C236" s="2" t="s">
        <v>28</v>
      </c>
      <c r="D236" s="2" t="s">
        <v>74</v>
      </c>
      <c r="E236" s="2">
        <v>7</v>
      </c>
      <c r="F236" s="2">
        <v>2024</v>
      </c>
      <c r="G236" s="8" t="s">
        <v>96</v>
      </c>
      <c r="H236" s="2">
        <v>3232</v>
      </c>
      <c r="I236" s="2">
        <v>3375</v>
      </c>
      <c r="J236" s="2">
        <v>-143</v>
      </c>
      <c r="K236" s="2">
        <v>4.4000000000000004</v>
      </c>
      <c r="L236" s="2" t="s">
        <v>76</v>
      </c>
      <c r="M236">
        <f t="shared" si="25"/>
        <v>3543.3333333333335</v>
      </c>
      <c r="N236">
        <f t="shared" si="24"/>
        <v>3419.1834022264802</v>
      </c>
      <c r="O236">
        <f t="shared" si="21"/>
        <v>143</v>
      </c>
      <c r="P236" s="6">
        <f t="shared" si="22"/>
        <v>4.4245049504950493E-2</v>
      </c>
      <c r="Q236" s="6">
        <f t="shared" si="23"/>
        <v>5.7915656629480262E-2</v>
      </c>
    </row>
    <row r="237" spans="1:17" x14ac:dyDescent="0.25">
      <c r="A237" s="3">
        <v>236</v>
      </c>
      <c r="B237" s="3" t="s">
        <v>27</v>
      </c>
      <c r="C237" s="3" t="s">
        <v>28</v>
      </c>
      <c r="D237" s="3" t="s">
        <v>74</v>
      </c>
      <c r="E237" s="3">
        <v>8</v>
      </c>
      <c r="F237" s="3">
        <v>2024</v>
      </c>
      <c r="G237" s="9" t="s">
        <v>97</v>
      </c>
      <c r="H237" s="3">
        <v>3053</v>
      </c>
      <c r="I237" s="3">
        <v>3074</v>
      </c>
      <c r="J237" s="3">
        <v>-21</v>
      </c>
      <c r="K237" s="3">
        <v>0.7</v>
      </c>
      <c r="L237" s="3" t="s">
        <v>83</v>
      </c>
      <c r="M237">
        <f t="shared" si="25"/>
        <v>3561</v>
      </c>
      <c r="N237">
        <f t="shared" si="24"/>
        <v>3363.0283815585358</v>
      </c>
      <c r="O237">
        <f t="shared" si="21"/>
        <v>21</v>
      </c>
      <c r="P237" s="6">
        <f t="shared" si="22"/>
        <v>6.8784801834261382E-3</v>
      </c>
      <c r="Q237" s="6">
        <f t="shared" si="23"/>
        <v>0.10154876565952695</v>
      </c>
    </row>
    <row r="238" spans="1:17" x14ac:dyDescent="0.25">
      <c r="A238" s="2">
        <v>237</v>
      </c>
      <c r="B238" s="2" t="s">
        <v>27</v>
      </c>
      <c r="C238" s="2" t="s">
        <v>28</v>
      </c>
      <c r="D238" s="2" t="s">
        <v>74</v>
      </c>
      <c r="E238" s="2">
        <v>9</v>
      </c>
      <c r="F238" s="2">
        <v>2024</v>
      </c>
      <c r="G238" s="8" t="s">
        <v>98</v>
      </c>
      <c r="H238" s="2">
        <v>2958</v>
      </c>
      <c r="I238" s="2">
        <v>2790</v>
      </c>
      <c r="J238" s="2">
        <v>168</v>
      </c>
      <c r="K238" s="2">
        <v>5.7</v>
      </c>
      <c r="L238" s="2" t="s">
        <v>76</v>
      </c>
      <c r="M238">
        <f t="shared" si="25"/>
        <v>3325.3333333333335</v>
      </c>
      <c r="N238">
        <f t="shared" si="24"/>
        <v>3270.0198670909749</v>
      </c>
      <c r="O238">
        <f t="shared" si="21"/>
        <v>168</v>
      </c>
      <c r="P238" s="6">
        <f t="shared" si="22"/>
        <v>5.6795131845841784E-2</v>
      </c>
      <c r="Q238" s="6">
        <f t="shared" si="23"/>
        <v>0.10548338982115446</v>
      </c>
    </row>
    <row r="239" spans="1:17" x14ac:dyDescent="0.25">
      <c r="A239" s="3">
        <v>238</v>
      </c>
      <c r="B239" s="3" t="s">
        <v>27</v>
      </c>
      <c r="C239" s="3" t="s">
        <v>28</v>
      </c>
      <c r="D239" s="3" t="s">
        <v>74</v>
      </c>
      <c r="E239" s="3">
        <v>10</v>
      </c>
      <c r="F239" s="3">
        <v>2024</v>
      </c>
      <c r="G239" s="9" t="s">
        <v>99</v>
      </c>
      <c r="H239" s="3">
        <v>3331</v>
      </c>
      <c r="I239" s="3">
        <v>3390</v>
      </c>
      <c r="J239" s="3">
        <v>-59</v>
      </c>
      <c r="K239" s="3">
        <v>1.8</v>
      </c>
      <c r="L239" s="3" t="s">
        <v>83</v>
      </c>
      <c r="M239">
        <f t="shared" si="25"/>
        <v>3081</v>
      </c>
      <c r="N239">
        <f t="shared" si="24"/>
        <v>3176.4139069636822</v>
      </c>
      <c r="O239">
        <f t="shared" si="21"/>
        <v>59</v>
      </c>
      <c r="P239" s="6">
        <f t="shared" si="22"/>
        <v>1.7712398679075352E-2</v>
      </c>
      <c r="Q239" s="6">
        <f t="shared" si="23"/>
        <v>4.6408313730506703E-2</v>
      </c>
    </row>
    <row r="240" spans="1:17" x14ac:dyDescent="0.25">
      <c r="A240" s="2">
        <v>239</v>
      </c>
      <c r="B240" s="2" t="s">
        <v>27</v>
      </c>
      <c r="C240" s="2" t="s">
        <v>28</v>
      </c>
      <c r="D240" s="2" t="s">
        <v>74</v>
      </c>
      <c r="E240" s="2">
        <v>11</v>
      </c>
      <c r="F240" s="2">
        <v>2024</v>
      </c>
      <c r="G240" s="8" t="s">
        <v>100</v>
      </c>
      <c r="H240" s="2">
        <v>4092</v>
      </c>
      <c r="I240" s="2">
        <v>4485</v>
      </c>
      <c r="J240" s="2">
        <v>-393</v>
      </c>
      <c r="K240" s="2">
        <v>9.6</v>
      </c>
      <c r="L240" s="2" t="s">
        <v>78</v>
      </c>
      <c r="M240">
        <f t="shared" si="25"/>
        <v>3114</v>
      </c>
      <c r="N240">
        <f t="shared" si="24"/>
        <v>3222.7897348745773</v>
      </c>
      <c r="O240">
        <f t="shared" si="21"/>
        <v>393</v>
      </c>
      <c r="P240" s="6">
        <f t="shared" si="22"/>
        <v>9.6041055718475071E-2</v>
      </c>
      <c r="Q240" s="6">
        <f t="shared" si="23"/>
        <v>0.21241697583710231</v>
      </c>
    </row>
    <row r="241" spans="1:17" x14ac:dyDescent="0.25">
      <c r="A241" s="3">
        <v>240</v>
      </c>
      <c r="B241" s="3" t="s">
        <v>27</v>
      </c>
      <c r="C241" s="3" t="s">
        <v>28</v>
      </c>
      <c r="D241" s="3" t="s">
        <v>74</v>
      </c>
      <c r="E241" s="3">
        <v>12</v>
      </c>
      <c r="F241" s="3">
        <v>2024</v>
      </c>
      <c r="G241" s="9" t="s">
        <v>101</v>
      </c>
      <c r="H241" s="3">
        <v>3956</v>
      </c>
      <c r="I241" s="3">
        <v>3845</v>
      </c>
      <c r="J241" s="3">
        <v>111</v>
      </c>
      <c r="K241" s="3">
        <v>2.8</v>
      </c>
      <c r="L241" s="3" t="s">
        <v>76</v>
      </c>
      <c r="M241">
        <f t="shared" si="25"/>
        <v>3460.3333333333335</v>
      </c>
      <c r="N241">
        <f t="shared" si="24"/>
        <v>3483.552814412204</v>
      </c>
      <c r="O241">
        <f t="shared" si="21"/>
        <v>111</v>
      </c>
      <c r="P241" s="6">
        <f t="shared" si="22"/>
        <v>2.8058645096056625E-2</v>
      </c>
      <c r="Q241" s="6">
        <f t="shared" si="23"/>
        <v>0.11942547663998887</v>
      </c>
    </row>
    <row r="242" spans="1:17" x14ac:dyDescent="0.25">
      <c r="A242" s="2">
        <v>241</v>
      </c>
      <c r="B242" s="2" t="s">
        <v>27</v>
      </c>
      <c r="C242" s="2" t="s">
        <v>28</v>
      </c>
      <c r="D242" s="2" t="s">
        <v>102</v>
      </c>
      <c r="E242" s="2">
        <v>1</v>
      </c>
      <c r="F242" s="2">
        <v>2023</v>
      </c>
      <c r="G242" s="8" t="s">
        <v>75</v>
      </c>
      <c r="H242" s="2">
        <v>2042</v>
      </c>
      <c r="I242" s="2">
        <v>2055</v>
      </c>
      <c r="J242" s="2">
        <v>-13</v>
      </c>
      <c r="K242" s="2">
        <v>0.6</v>
      </c>
      <c r="L242" s="2" t="s">
        <v>76</v>
      </c>
      <c r="M242">
        <f t="shared" si="25"/>
        <v>3793</v>
      </c>
      <c r="N242">
        <f t="shared" si="24"/>
        <v>3625.2869700885431</v>
      </c>
      <c r="O242">
        <f t="shared" si="21"/>
        <v>13</v>
      </c>
      <c r="P242" s="6">
        <f t="shared" si="22"/>
        <v>6.3663075416258569E-3</v>
      </c>
      <c r="Q242" s="6">
        <f t="shared" si="23"/>
        <v>0.77536090601789576</v>
      </c>
    </row>
    <row r="243" spans="1:17" x14ac:dyDescent="0.25">
      <c r="A243" s="3">
        <v>242</v>
      </c>
      <c r="B243" s="3" t="s">
        <v>27</v>
      </c>
      <c r="C243" s="3" t="s">
        <v>28</v>
      </c>
      <c r="D243" s="3" t="s">
        <v>102</v>
      </c>
      <c r="E243" s="3">
        <v>2</v>
      </c>
      <c r="F243" s="3">
        <v>2023</v>
      </c>
      <c r="G243" s="9" t="s">
        <v>77</v>
      </c>
      <c r="H243" s="3">
        <v>1987</v>
      </c>
      <c r="I243" s="3">
        <v>1809</v>
      </c>
      <c r="J243" s="3">
        <v>178</v>
      </c>
      <c r="K243" s="3">
        <v>9</v>
      </c>
      <c r="L243" s="3" t="s">
        <v>76</v>
      </c>
      <c r="M243">
        <f t="shared" si="25"/>
        <v>3363.3333333333335</v>
      </c>
      <c r="N243">
        <f t="shared" si="24"/>
        <v>3150.3008790619797</v>
      </c>
      <c r="O243">
        <f t="shared" si="21"/>
        <v>178</v>
      </c>
      <c r="P243" s="6">
        <f t="shared" si="22"/>
        <v>8.958228485153498E-2</v>
      </c>
      <c r="Q243" s="6">
        <f t="shared" si="23"/>
        <v>0.58545590289983884</v>
      </c>
    </row>
    <row r="244" spans="1:17" x14ac:dyDescent="0.25">
      <c r="A244" s="2">
        <v>243</v>
      </c>
      <c r="B244" s="2" t="s">
        <v>27</v>
      </c>
      <c r="C244" s="2" t="s">
        <v>28</v>
      </c>
      <c r="D244" s="2" t="s">
        <v>102</v>
      </c>
      <c r="E244" s="2">
        <v>3</v>
      </c>
      <c r="F244" s="2">
        <v>2023</v>
      </c>
      <c r="G244" s="8" t="s">
        <v>79</v>
      </c>
      <c r="H244" s="2">
        <v>2706</v>
      </c>
      <c r="I244" s="2">
        <v>2503</v>
      </c>
      <c r="J244" s="2">
        <v>203</v>
      </c>
      <c r="K244" s="2">
        <v>7.5</v>
      </c>
      <c r="L244" s="2" t="s">
        <v>76</v>
      </c>
      <c r="M244">
        <f t="shared" si="25"/>
        <v>2661.6666666666665</v>
      </c>
      <c r="N244">
        <f t="shared" si="24"/>
        <v>2801.3106153433855</v>
      </c>
      <c r="O244">
        <f t="shared" si="21"/>
        <v>203</v>
      </c>
      <c r="P244" s="6">
        <f t="shared" si="22"/>
        <v>7.5018477457501842E-2</v>
      </c>
      <c r="Q244" s="6">
        <f t="shared" si="23"/>
        <v>3.5221956889647271E-2</v>
      </c>
    </row>
    <row r="245" spans="1:17" x14ac:dyDescent="0.25">
      <c r="A245" s="3">
        <v>244</v>
      </c>
      <c r="B245" s="3" t="s">
        <v>27</v>
      </c>
      <c r="C245" s="3" t="s">
        <v>28</v>
      </c>
      <c r="D245" s="3" t="s">
        <v>102</v>
      </c>
      <c r="E245" s="3">
        <v>4</v>
      </c>
      <c r="F245" s="3">
        <v>2023</v>
      </c>
      <c r="G245" s="9" t="s">
        <v>80</v>
      </c>
      <c r="H245" s="3">
        <v>2460</v>
      </c>
      <c r="I245" s="3">
        <v>2220</v>
      </c>
      <c r="J245" s="3">
        <v>240</v>
      </c>
      <c r="K245" s="3">
        <v>9.8000000000000007</v>
      </c>
      <c r="L245" s="3" t="s">
        <v>76</v>
      </c>
      <c r="M245">
        <f t="shared" si="25"/>
        <v>2245</v>
      </c>
      <c r="N245">
        <f t="shared" si="24"/>
        <v>2772.7174307403698</v>
      </c>
      <c r="O245">
        <f t="shared" si="21"/>
        <v>240</v>
      </c>
      <c r="P245" s="6">
        <f t="shared" si="22"/>
        <v>9.7560975609756101E-2</v>
      </c>
      <c r="Q245" s="6">
        <f t="shared" si="23"/>
        <v>0.12712090680502836</v>
      </c>
    </row>
    <row r="246" spans="1:17" x14ac:dyDescent="0.25">
      <c r="A246" s="2">
        <v>245</v>
      </c>
      <c r="B246" s="2" t="s">
        <v>27</v>
      </c>
      <c r="C246" s="2" t="s">
        <v>28</v>
      </c>
      <c r="D246" s="2" t="s">
        <v>102</v>
      </c>
      <c r="E246" s="2">
        <v>5</v>
      </c>
      <c r="F246" s="2">
        <v>2023</v>
      </c>
      <c r="G246" s="8" t="s">
        <v>81</v>
      </c>
      <c r="H246" s="2">
        <v>2835</v>
      </c>
      <c r="I246" s="2">
        <v>2801</v>
      </c>
      <c r="J246" s="2">
        <v>34</v>
      </c>
      <c r="K246" s="2">
        <v>1.2</v>
      </c>
      <c r="L246" s="2" t="s">
        <v>78</v>
      </c>
      <c r="M246">
        <f t="shared" si="25"/>
        <v>2384.3333333333335</v>
      </c>
      <c r="N246">
        <f t="shared" si="24"/>
        <v>2678.9022015182586</v>
      </c>
      <c r="O246">
        <f t="shared" si="21"/>
        <v>34</v>
      </c>
      <c r="P246" s="6">
        <f t="shared" si="22"/>
        <v>1.199294532627866E-2</v>
      </c>
      <c r="Q246" s="6">
        <f t="shared" si="23"/>
        <v>5.5060951845411425E-2</v>
      </c>
    </row>
    <row r="247" spans="1:17" x14ac:dyDescent="0.25">
      <c r="A247" s="3">
        <v>246</v>
      </c>
      <c r="B247" s="3" t="s">
        <v>27</v>
      </c>
      <c r="C247" s="3" t="s">
        <v>28</v>
      </c>
      <c r="D247" s="3" t="s">
        <v>102</v>
      </c>
      <c r="E247" s="3">
        <v>6</v>
      </c>
      <c r="F247" s="3">
        <v>2023</v>
      </c>
      <c r="G247" s="9" t="s">
        <v>82</v>
      </c>
      <c r="H247" s="3">
        <v>3326</v>
      </c>
      <c r="I247" s="3">
        <v>3161</v>
      </c>
      <c r="J247" s="3">
        <v>165</v>
      </c>
      <c r="K247" s="3">
        <v>5</v>
      </c>
      <c r="L247" s="3" t="s">
        <v>76</v>
      </c>
      <c r="M247">
        <f t="shared" si="25"/>
        <v>2667</v>
      </c>
      <c r="N247">
        <f t="shared" si="24"/>
        <v>2725.7315410627807</v>
      </c>
      <c r="O247">
        <f t="shared" si="21"/>
        <v>165</v>
      </c>
      <c r="P247" s="6">
        <f t="shared" si="22"/>
        <v>4.9609140108238123E-2</v>
      </c>
      <c r="Q247" s="6">
        <f t="shared" si="23"/>
        <v>0.18047758837559208</v>
      </c>
    </row>
    <row r="248" spans="1:17" x14ac:dyDescent="0.25">
      <c r="A248" s="2">
        <v>247</v>
      </c>
      <c r="B248" s="2" t="s">
        <v>27</v>
      </c>
      <c r="C248" s="2" t="s">
        <v>28</v>
      </c>
      <c r="D248" s="2" t="s">
        <v>102</v>
      </c>
      <c r="E248" s="2">
        <v>7</v>
      </c>
      <c r="F248" s="2">
        <v>2023</v>
      </c>
      <c r="G248" s="8" t="s">
        <v>84</v>
      </c>
      <c r="H248" s="2">
        <v>2665</v>
      </c>
      <c r="I248" s="2">
        <v>2433</v>
      </c>
      <c r="J248" s="2">
        <v>232</v>
      </c>
      <c r="K248" s="2">
        <v>8.6999999999999993</v>
      </c>
      <c r="L248" s="2" t="s">
        <v>76</v>
      </c>
      <c r="M248">
        <f t="shared" si="25"/>
        <v>2873.6666666666665</v>
      </c>
      <c r="N248">
        <f t="shared" si="24"/>
        <v>2905.8120787439466</v>
      </c>
      <c r="O248">
        <f t="shared" si="21"/>
        <v>232</v>
      </c>
      <c r="P248" s="6">
        <f t="shared" si="22"/>
        <v>8.7054409005628525E-2</v>
      </c>
      <c r="Q248" s="6">
        <f t="shared" si="23"/>
        <v>9.0361005157203217E-2</v>
      </c>
    </row>
    <row r="249" spans="1:17" x14ac:dyDescent="0.25">
      <c r="A249" s="3">
        <v>248</v>
      </c>
      <c r="B249" s="3" t="s">
        <v>27</v>
      </c>
      <c r="C249" s="3" t="s">
        <v>28</v>
      </c>
      <c r="D249" s="3" t="s">
        <v>102</v>
      </c>
      <c r="E249" s="3">
        <v>8</v>
      </c>
      <c r="F249" s="3">
        <v>2023</v>
      </c>
      <c r="G249" s="9" t="s">
        <v>85</v>
      </c>
      <c r="H249" s="3">
        <v>2564</v>
      </c>
      <c r="I249" s="3">
        <v>2630</v>
      </c>
      <c r="J249" s="3">
        <v>-66</v>
      </c>
      <c r="K249" s="3">
        <v>2.6</v>
      </c>
      <c r="L249" s="3" t="s">
        <v>78</v>
      </c>
      <c r="M249">
        <f t="shared" si="25"/>
        <v>2942</v>
      </c>
      <c r="N249">
        <f t="shared" si="24"/>
        <v>2833.5684551207623</v>
      </c>
      <c r="O249">
        <f t="shared" si="21"/>
        <v>66</v>
      </c>
      <c r="P249" s="6">
        <f t="shared" si="22"/>
        <v>2.5741029641185648E-2</v>
      </c>
      <c r="Q249" s="6">
        <f t="shared" si="23"/>
        <v>0.10513590293321463</v>
      </c>
    </row>
    <row r="250" spans="1:17" x14ac:dyDescent="0.25">
      <c r="A250" s="2">
        <v>249</v>
      </c>
      <c r="B250" s="2" t="s">
        <v>27</v>
      </c>
      <c r="C250" s="2" t="s">
        <v>28</v>
      </c>
      <c r="D250" s="2" t="s">
        <v>102</v>
      </c>
      <c r="E250" s="2">
        <v>9</v>
      </c>
      <c r="F250" s="2">
        <v>2023</v>
      </c>
      <c r="G250" s="8" t="s">
        <v>86</v>
      </c>
      <c r="H250" s="2">
        <v>2492</v>
      </c>
      <c r="I250" s="2">
        <v>2647</v>
      </c>
      <c r="J250" s="2">
        <v>-155</v>
      </c>
      <c r="K250" s="2">
        <v>6.2</v>
      </c>
      <c r="L250" s="2" t="s">
        <v>76</v>
      </c>
      <c r="M250">
        <f t="shared" si="25"/>
        <v>2851.6666666666665</v>
      </c>
      <c r="N250">
        <f t="shared" si="24"/>
        <v>2752.6979185845335</v>
      </c>
      <c r="O250">
        <f t="shared" si="21"/>
        <v>155</v>
      </c>
      <c r="P250" s="6">
        <f t="shared" si="22"/>
        <v>6.2199036918138044E-2</v>
      </c>
      <c r="Q250" s="6">
        <f t="shared" si="23"/>
        <v>0.10461393201626543</v>
      </c>
    </row>
    <row r="251" spans="1:17" x14ac:dyDescent="0.25">
      <c r="A251" s="3">
        <v>250</v>
      </c>
      <c r="B251" s="3" t="s">
        <v>27</v>
      </c>
      <c r="C251" s="3" t="s">
        <v>28</v>
      </c>
      <c r="D251" s="3" t="s">
        <v>102</v>
      </c>
      <c r="E251" s="3">
        <v>10</v>
      </c>
      <c r="F251" s="3">
        <v>2023</v>
      </c>
      <c r="G251" s="9" t="s">
        <v>87</v>
      </c>
      <c r="H251" s="3">
        <v>2694</v>
      </c>
      <c r="I251" s="3">
        <v>2558</v>
      </c>
      <c r="J251" s="3">
        <v>136</v>
      </c>
      <c r="K251" s="3">
        <v>5</v>
      </c>
      <c r="L251" s="3" t="s">
        <v>83</v>
      </c>
      <c r="M251">
        <f t="shared" si="25"/>
        <v>2573.6666666666665</v>
      </c>
      <c r="N251">
        <f t="shared" si="24"/>
        <v>2674.4885430091731</v>
      </c>
      <c r="O251">
        <f t="shared" si="21"/>
        <v>136</v>
      </c>
      <c r="P251" s="6">
        <f t="shared" si="22"/>
        <v>5.0482553823311065E-2</v>
      </c>
      <c r="Q251" s="6">
        <f t="shared" si="23"/>
        <v>7.2425601302252788E-3</v>
      </c>
    </row>
    <row r="252" spans="1:17" x14ac:dyDescent="0.25">
      <c r="A252" s="2">
        <v>251</v>
      </c>
      <c r="B252" s="2" t="s">
        <v>27</v>
      </c>
      <c r="C252" s="2" t="s">
        <v>28</v>
      </c>
      <c r="D252" s="2" t="s">
        <v>102</v>
      </c>
      <c r="E252" s="2">
        <v>11</v>
      </c>
      <c r="F252" s="2">
        <v>2023</v>
      </c>
      <c r="G252" s="8" t="s">
        <v>88</v>
      </c>
      <c r="H252" s="2">
        <v>3615</v>
      </c>
      <c r="I252" s="2">
        <v>3691</v>
      </c>
      <c r="J252" s="2">
        <v>-76</v>
      </c>
      <c r="K252" s="2">
        <v>2.1</v>
      </c>
      <c r="L252" s="2" t="s">
        <v>83</v>
      </c>
      <c r="M252">
        <f t="shared" si="25"/>
        <v>2583.3333333333335</v>
      </c>
      <c r="N252">
        <f t="shared" si="24"/>
        <v>2680.341980106421</v>
      </c>
      <c r="O252">
        <f t="shared" si="21"/>
        <v>76</v>
      </c>
      <c r="P252" s="6">
        <f t="shared" si="22"/>
        <v>2.1023513139695714E-2</v>
      </c>
      <c r="Q252" s="6">
        <f t="shared" si="23"/>
        <v>0.25854993634677148</v>
      </c>
    </row>
    <row r="253" spans="1:17" x14ac:dyDescent="0.25">
      <c r="A253" s="3">
        <v>252</v>
      </c>
      <c r="B253" s="3" t="s">
        <v>27</v>
      </c>
      <c r="C253" s="3" t="s">
        <v>28</v>
      </c>
      <c r="D253" s="3" t="s">
        <v>102</v>
      </c>
      <c r="E253" s="3">
        <v>12</v>
      </c>
      <c r="F253" s="3">
        <v>2023</v>
      </c>
      <c r="G253" s="9" t="s">
        <v>89</v>
      </c>
      <c r="H253" s="3">
        <v>3303</v>
      </c>
      <c r="I253" s="3">
        <v>3317</v>
      </c>
      <c r="J253" s="3">
        <v>-14</v>
      </c>
      <c r="K253" s="3">
        <v>0.4</v>
      </c>
      <c r="L253" s="3" t="s">
        <v>76</v>
      </c>
      <c r="M253">
        <f t="shared" si="25"/>
        <v>2933.6666666666665</v>
      </c>
      <c r="N253">
        <f t="shared" si="24"/>
        <v>2960.7393860744946</v>
      </c>
      <c r="O253">
        <f t="shared" si="21"/>
        <v>14</v>
      </c>
      <c r="P253" s="6">
        <f t="shared" si="22"/>
        <v>4.2385709960641839E-3</v>
      </c>
      <c r="Q253" s="6">
        <f t="shared" si="23"/>
        <v>0.10362113651998346</v>
      </c>
    </row>
    <row r="254" spans="1:17" x14ac:dyDescent="0.25">
      <c r="A254" s="2">
        <v>253</v>
      </c>
      <c r="B254" s="2" t="s">
        <v>27</v>
      </c>
      <c r="C254" s="2" t="s">
        <v>28</v>
      </c>
      <c r="D254" s="2" t="s">
        <v>102</v>
      </c>
      <c r="E254" s="2">
        <v>1</v>
      </c>
      <c r="F254" s="2">
        <v>2024</v>
      </c>
      <c r="G254" s="8" t="s">
        <v>90</v>
      </c>
      <c r="H254" s="2">
        <v>2538</v>
      </c>
      <c r="I254" s="2">
        <v>2435</v>
      </c>
      <c r="J254" s="2">
        <v>103</v>
      </c>
      <c r="K254" s="2">
        <v>4.0999999999999996</v>
      </c>
      <c r="L254" s="2" t="s">
        <v>83</v>
      </c>
      <c r="M254">
        <f t="shared" si="25"/>
        <v>3204</v>
      </c>
      <c r="N254">
        <f t="shared" si="24"/>
        <v>3063.4175702521461</v>
      </c>
      <c r="O254">
        <f t="shared" si="21"/>
        <v>103</v>
      </c>
      <c r="P254" s="6">
        <f t="shared" si="22"/>
        <v>4.0583136327817182E-2</v>
      </c>
      <c r="Q254" s="6">
        <f t="shared" si="23"/>
        <v>0.20702031924828451</v>
      </c>
    </row>
    <row r="255" spans="1:17" x14ac:dyDescent="0.25">
      <c r="A255" s="3">
        <v>254</v>
      </c>
      <c r="B255" s="3" t="s">
        <v>27</v>
      </c>
      <c r="C255" s="3" t="s">
        <v>28</v>
      </c>
      <c r="D255" s="3" t="s">
        <v>102</v>
      </c>
      <c r="E255" s="3">
        <v>2</v>
      </c>
      <c r="F255" s="3">
        <v>2024</v>
      </c>
      <c r="G255" s="9" t="s">
        <v>91</v>
      </c>
      <c r="H255" s="3">
        <v>2492</v>
      </c>
      <c r="I255" s="3">
        <v>2395</v>
      </c>
      <c r="J255" s="3">
        <v>97</v>
      </c>
      <c r="K255" s="3">
        <v>3.9</v>
      </c>
      <c r="L255" s="3" t="s">
        <v>83</v>
      </c>
      <c r="M255">
        <f t="shared" si="25"/>
        <v>3152</v>
      </c>
      <c r="N255">
        <f t="shared" si="24"/>
        <v>2905.7922991765022</v>
      </c>
      <c r="O255">
        <f t="shared" si="21"/>
        <v>97</v>
      </c>
      <c r="P255" s="6">
        <f t="shared" si="22"/>
        <v>3.8924558587479938E-2</v>
      </c>
      <c r="Q255" s="6">
        <f t="shared" si="23"/>
        <v>0.16604827414787407</v>
      </c>
    </row>
    <row r="256" spans="1:17" x14ac:dyDescent="0.25">
      <c r="A256" s="2">
        <v>255</v>
      </c>
      <c r="B256" s="2" t="s">
        <v>27</v>
      </c>
      <c r="C256" s="2" t="s">
        <v>28</v>
      </c>
      <c r="D256" s="2" t="s">
        <v>102</v>
      </c>
      <c r="E256" s="2">
        <v>3</v>
      </c>
      <c r="F256" s="2">
        <v>2024</v>
      </c>
      <c r="G256" s="8" t="s">
        <v>92</v>
      </c>
      <c r="H256" s="2">
        <v>2311</v>
      </c>
      <c r="I256" s="2">
        <v>2523</v>
      </c>
      <c r="J256" s="2">
        <v>-212</v>
      </c>
      <c r="K256" s="2">
        <v>9.1999999999999993</v>
      </c>
      <c r="L256" s="2" t="s">
        <v>78</v>
      </c>
      <c r="M256">
        <f t="shared" si="25"/>
        <v>2777.6666666666665</v>
      </c>
      <c r="N256">
        <f t="shared" si="24"/>
        <v>2781.6546094235514</v>
      </c>
      <c r="O256">
        <f t="shared" si="21"/>
        <v>212</v>
      </c>
      <c r="P256" s="6">
        <f t="shared" si="22"/>
        <v>9.1735179575941156E-2</v>
      </c>
      <c r="Q256" s="6">
        <f t="shared" si="23"/>
        <v>0.20365842034770723</v>
      </c>
    </row>
    <row r="257" spans="1:17" x14ac:dyDescent="0.25">
      <c r="A257" s="3">
        <v>256</v>
      </c>
      <c r="B257" s="3" t="s">
        <v>27</v>
      </c>
      <c r="C257" s="3" t="s">
        <v>28</v>
      </c>
      <c r="D257" s="3" t="s">
        <v>102</v>
      </c>
      <c r="E257" s="3">
        <v>4</v>
      </c>
      <c r="F257" s="3">
        <v>2024</v>
      </c>
      <c r="G257" s="9" t="s">
        <v>93</v>
      </c>
      <c r="H257" s="3">
        <v>3012</v>
      </c>
      <c r="I257" s="3">
        <v>2835</v>
      </c>
      <c r="J257" s="3">
        <v>177</v>
      </c>
      <c r="K257" s="3">
        <v>5.9</v>
      </c>
      <c r="L257" s="3" t="s">
        <v>78</v>
      </c>
      <c r="M257">
        <f t="shared" si="25"/>
        <v>2447</v>
      </c>
      <c r="N257">
        <f t="shared" si="24"/>
        <v>2640.4582265964855</v>
      </c>
      <c r="O257">
        <f t="shared" si="21"/>
        <v>177</v>
      </c>
      <c r="P257" s="6">
        <f t="shared" si="22"/>
        <v>5.8764940239043828E-2</v>
      </c>
      <c r="Q257" s="6">
        <f t="shared" si="23"/>
        <v>0.12335384243144573</v>
      </c>
    </row>
    <row r="258" spans="1:17" x14ac:dyDescent="0.25">
      <c r="A258" s="2">
        <v>257</v>
      </c>
      <c r="B258" s="2" t="s">
        <v>27</v>
      </c>
      <c r="C258" s="2" t="s">
        <v>28</v>
      </c>
      <c r="D258" s="2" t="s">
        <v>102</v>
      </c>
      <c r="E258" s="2">
        <v>5</v>
      </c>
      <c r="F258" s="2">
        <v>2024</v>
      </c>
      <c r="G258" s="8" t="s">
        <v>94</v>
      </c>
      <c r="H258" s="2">
        <v>2694</v>
      </c>
      <c r="I258" s="2">
        <v>2468</v>
      </c>
      <c r="J258" s="2">
        <v>226</v>
      </c>
      <c r="K258" s="2">
        <v>8.4</v>
      </c>
      <c r="L258" s="2" t="s">
        <v>78</v>
      </c>
      <c r="M258">
        <f t="shared" si="25"/>
        <v>2605</v>
      </c>
      <c r="N258">
        <f t="shared" si="24"/>
        <v>2751.9207586175398</v>
      </c>
      <c r="O258">
        <f t="shared" si="21"/>
        <v>226</v>
      </c>
      <c r="P258" s="6">
        <f t="shared" si="22"/>
        <v>8.3890126206384558E-2</v>
      </c>
      <c r="Q258" s="6">
        <f t="shared" si="23"/>
        <v>2.1499910399977666E-2</v>
      </c>
    </row>
    <row r="259" spans="1:17" x14ac:dyDescent="0.25">
      <c r="A259" s="3">
        <v>258</v>
      </c>
      <c r="B259" s="3" t="s">
        <v>27</v>
      </c>
      <c r="C259" s="3" t="s">
        <v>28</v>
      </c>
      <c r="D259" s="3" t="s">
        <v>102</v>
      </c>
      <c r="E259" s="3">
        <v>6</v>
      </c>
      <c r="F259" s="3">
        <v>2024</v>
      </c>
      <c r="G259" s="9" t="s">
        <v>95</v>
      </c>
      <c r="H259" s="3">
        <v>2757</v>
      </c>
      <c r="I259" s="3">
        <v>2522</v>
      </c>
      <c r="J259" s="3">
        <v>235</v>
      </c>
      <c r="K259" s="3">
        <v>8.5</v>
      </c>
      <c r="L259" s="3" t="s">
        <v>78</v>
      </c>
      <c r="M259">
        <f t="shared" si="25"/>
        <v>2672.3333333333335</v>
      </c>
      <c r="N259">
        <f t="shared" si="24"/>
        <v>2734.5445310322775</v>
      </c>
      <c r="O259">
        <f t="shared" ref="O259:O322" si="26">ABS(H259-I259)</f>
        <v>235</v>
      </c>
      <c r="P259" s="6">
        <f t="shared" ref="P259:P322" si="27">ABS(O259)/H259</f>
        <v>8.523757707653247E-2</v>
      </c>
      <c r="Q259" s="6">
        <f t="shared" ref="Q259:Q322" si="28">ABS((H259-N259))/H259</f>
        <v>8.1448926252167143E-3</v>
      </c>
    </row>
    <row r="260" spans="1:17" x14ac:dyDescent="0.25">
      <c r="A260" s="2">
        <v>259</v>
      </c>
      <c r="B260" s="2" t="s">
        <v>27</v>
      </c>
      <c r="C260" s="2" t="s">
        <v>28</v>
      </c>
      <c r="D260" s="2" t="s">
        <v>102</v>
      </c>
      <c r="E260" s="2">
        <v>7</v>
      </c>
      <c r="F260" s="2">
        <v>2024</v>
      </c>
      <c r="G260" s="8" t="s">
        <v>96</v>
      </c>
      <c r="H260" s="2">
        <v>2873</v>
      </c>
      <c r="I260" s="2">
        <v>2981</v>
      </c>
      <c r="J260" s="2">
        <v>-108</v>
      </c>
      <c r="K260" s="2">
        <v>3.8</v>
      </c>
      <c r="L260" s="2" t="s">
        <v>76</v>
      </c>
      <c r="M260">
        <f t="shared" si="25"/>
        <v>2821</v>
      </c>
      <c r="N260">
        <f t="shared" ref="N260:N323" si="29">0.3*H259+(0.7*N259)</f>
        <v>2741.2811717225941</v>
      </c>
      <c r="O260">
        <f t="shared" si="26"/>
        <v>108</v>
      </c>
      <c r="P260" s="6">
        <f t="shared" si="27"/>
        <v>3.7591367908109991E-2</v>
      </c>
      <c r="Q260" s="6">
        <f t="shared" si="28"/>
        <v>4.5847138279640071E-2</v>
      </c>
    </row>
    <row r="261" spans="1:17" x14ac:dyDescent="0.25">
      <c r="A261" s="3">
        <v>260</v>
      </c>
      <c r="B261" s="3" t="s">
        <v>27</v>
      </c>
      <c r="C261" s="3" t="s">
        <v>28</v>
      </c>
      <c r="D261" s="3" t="s">
        <v>102</v>
      </c>
      <c r="E261" s="3">
        <v>8</v>
      </c>
      <c r="F261" s="3">
        <v>2024</v>
      </c>
      <c r="G261" s="9" t="s">
        <v>97</v>
      </c>
      <c r="H261" s="3">
        <v>2712</v>
      </c>
      <c r="I261" s="3">
        <v>2566</v>
      </c>
      <c r="J261" s="3">
        <v>146</v>
      </c>
      <c r="K261" s="3">
        <v>5.4</v>
      </c>
      <c r="L261" s="3" t="s">
        <v>83</v>
      </c>
      <c r="M261">
        <f t="shared" si="25"/>
        <v>2774.6666666666665</v>
      </c>
      <c r="N261">
        <f t="shared" si="29"/>
        <v>2780.7968202058155</v>
      </c>
      <c r="O261">
        <f t="shared" si="26"/>
        <v>146</v>
      </c>
      <c r="P261" s="6">
        <f t="shared" si="27"/>
        <v>5.3834808259587023E-2</v>
      </c>
      <c r="Q261" s="6">
        <f t="shared" si="28"/>
        <v>2.5367559072940814E-2</v>
      </c>
    </row>
    <row r="262" spans="1:17" x14ac:dyDescent="0.25">
      <c r="A262" s="2">
        <v>261</v>
      </c>
      <c r="B262" s="2" t="s">
        <v>27</v>
      </c>
      <c r="C262" s="2" t="s">
        <v>28</v>
      </c>
      <c r="D262" s="2" t="s">
        <v>102</v>
      </c>
      <c r="E262" s="2">
        <v>9</v>
      </c>
      <c r="F262" s="2">
        <v>2024</v>
      </c>
      <c r="G262" s="8" t="s">
        <v>98</v>
      </c>
      <c r="H262" s="2">
        <v>2578</v>
      </c>
      <c r="I262" s="2">
        <v>2763</v>
      </c>
      <c r="J262" s="2">
        <v>-185</v>
      </c>
      <c r="K262" s="2">
        <v>7.2</v>
      </c>
      <c r="L262" s="2" t="s">
        <v>78</v>
      </c>
      <c r="M262">
        <f t="shared" ref="M262:M325" si="30">AVERAGE(H259:H261)</f>
        <v>2780.6666666666665</v>
      </c>
      <c r="N262">
        <f t="shared" si="29"/>
        <v>2760.1577741440706</v>
      </c>
      <c r="O262">
        <f t="shared" si="26"/>
        <v>185</v>
      </c>
      <c r="P262" s="6">
        <f t="shared" si="27"/>
        <v>7.1761055081458497E-2</v>
      </c>
      <c r="Q262" s="6">
        <f t="shared" si="28"/>
        <v>7.0658562507397424E-2</v>
      </c>
    </row>
    <row r="263" spans="1:17" x14ac:dyDescent="0.25">
      <c r="A263" s="3">
        <v>262</v>
      </c>
      <c r="B263" s="3" t="s">
        <v>27</v>
      </c>
      <c r="C263" s="3" t="s">
        <v>28</v>
      </c>
      <c r="D263" s="3" t="s">
        <v>102</v>
      </c>
      <c r="E263" s="3">
        <v>10</v>
      </c>
      <c r="F263" s="3">
        <v>2024</v>
      </c>
      <c r="G263" s="9" t="s">
        <v>99</v>
      </c>
      <c r="H263" s="3">
        <v>3126</v>
      </c>
      <c r="I263" s="3">
        <v>3391</v>
      </c>
      <c r="J263" s="3">
        <v>-265</v>
      </c>
      <c r="K263" s="3">
        <v>8.5</v>
      </c>
      <c r="L263" s="3" t="s">
        <v>83</v>
      </c>
      <c r="M263">
        <f t="shared" si="30"/>
        <v>2721</v>
      </c>
      <c r="N263">
        <f t="shared" si="29"/>
        <v>2705.5104419008494</v>
      </c>
      <c r="O263">
        <f t="shared" si="26"/>
        <v>265</v>
      </c>
      <c r="P263" s="6">
        <f t="shared" si="27"/>
        <v>8.4772872680742156E-2</v>
      </c>
      <c r="Q263" s="6">
        <f t="shared" si="28"/>
        <v>0.13451361423517294</v>
      </c>
    </row>
    <row r="264" spans="1:17" x14ac:dyDescent="0.25">
      <c r="A264" s="2">
        <v>263</v>
      </c>
      <c r="B264" s="2" t="s">
        <v>27</v>
      </c>
      <c r="C264" s="2" t="s">
        <v>28</v>
      </c>
      <c r="D264" s="2" t="s">
        <v>102</v>
      </c>
      <c r="E264" s="2">
        <v>11</v>
      </c>
      <c r="F264" s="2">
        <v>2024</v>
      </c>
      <c r="G264" s="8" t="s">
        <v>100</v>
      </c>
      <c r="H264" s="2">
        <v>3473</v>
      </c>
      <c r="I264" s="2">
        <v>3684</v>
      </c>
      <c r="J264" s="2">
        <v>-211</v>
      </c>
      <c r="K264" s="2">
        <v>6.1</v>
      </c>
      <c r="L264" s="2" t="s">
        <v>78</v>
      </c>
      <c r="M264">
        <f t="shared" si="30"/>
        <v>2805.3333333333335</v>
      </c>
      <c r="N264">
        <f t="shared" si="29"/>
        <v>2831.6573093305942</v>
      </c>
      <c r="O264">
        <f t="shared" si="26"/>
        <v>211</v>
      </c>
      <c r="P264" s="6">
        <f t="shared" si="27"/>
        <v>6.0754391016412321E-2</v>
      </c>
      <c r="Q264" s="6">
        <f t="shared" si="28"/>
        <v>0.184665329878896</v>
      </c>
    </row>
    <row r="265" spans="1:17" x14ac:dyDescent="0.25">
      <c r="A265" s="3">
        <v>264</v>
      </c>
      <c r="B265" s="3" t="s">
        <v>27</v>
      </c>
      <c r="C265" s="3" t="s">
        <v>28</v>
      </c>
      <c r="D265" s="3" t="s">
        <v>102</v>
      </c>
      <c r="E265" s="3">
        <v>12</v>
      </c>
      <c r="F265" s="3">
        <v>2024</v>
      </c>
      <c r="G265" s="9" t="s">
        <v>101</v>
      </c>
      <c r="H265" s="3">
        <v>3472</v>
      </c>
      <c r="I265" s="3">
        <v>3502</v>
      </c>
      <c r="J265" s="3">
        <v>-30</v>
      </c>
      <c r="K265" s="3">
        <v>0.9</v>
      </c>
      <c r="L265" s="3" t="s">
        <v>83</v>
      </c>
      <c r="M265">
        <f t="shared" si="30"/>
        <v>3059</v>
      </c>
      <c r="N265">
        <f t="shared" si="29"/>
        <v>3024.0601165314156</v>
      </c>
      <c r="O265">
        <f t="shared" si="26"/>
        <v>30</v>
      </c>
      <c r="P265" s="6">
        <f t="shared" si="27"/>
        <v>8.6405529953917058E-3</v>
      </c>
      <c r="Q265" s="6">
        <f t="shared" si="28"/>
        <v>0.12901494339532962</v>
      </c>
    </row>
    <row r="266" spans="1:17" x14ac:dyDescent="0.25">
      <c r="A266" s="2">
        <v>265</v>
      </c>
      <c r="B266" s="2" t="s">
        <v>27</v>
      </c>
      <c r="C266" s="2" t="s">
        <v>28</v>
      </c>
      <c r="D266" s="2" t="s">
        <v>103</v>
      </c>
      <c r="E266" s="2">
        <v>1</v>
      </c>
      <c r="F266" s="2">
        <v>2023</v>
      </c>
      <c r="G266" s="8" t="s">
        <v>75</v>
      </c>
      <c r="H266" s="2">
        <v>2366</v>
      </c>
      <c r="I266" s="2">
        <v>2255</v>
      </c>
      <c r="J266" s="2">
        <v>111</v>
      </c>
      <c r="K266" s="2">
        <v>4.7</v>
      </c>
      <c r="L266" s="2" t="s">
        <v>78</v>
      </c>
      <c r="M266">
        <f t="shared" si="30"/>
        <v>3357</v>
      </c>
      <c r="N266">
        <f t="shared" si="29"/>
        <v>3158.4420815719909</v>
      </c>
      <c r="O266">
        <f t="shared" si="26"/>
        <v>111</v>
      </c>
      <c r="P266" s="6">
        <f t="shared" si="27"/>
        <v>4.6914623837700759E-2</v>
      </c>
      <c r="Q266" s="6">
        <f t="shared" si="28"/>
        <v>0.33492902855959039</v>
      </c>
    </row>
    <row r="267" spans="1:17" x14ac:dyDescent="0.25">
      <c r="A267" s="3">
        <v>266</v>
      </c>
      <c r="B267" s="3" t="s">
        <v>27</v>
      </c>
      <c r="C267" s="3" t="s">
        <v>28</v>
      </c>
      <c r="D267" s="3" t="s">
        <v>103</v>
      </c>
      <c r="E267" s="3">
        <v>2</v>
      </c>
      <c r="F267" s="3">
        <v>2023</v>
      </c>
      <c r="G267" s="9" t="s">
        <v>77</v>
      </c>
      <c r="H267" s="3">
        <v>2236</v>
      </c>
      <c r="I267" s="3">
        <v>2086</v>
      </c>
      <c r="J267" s="3">
        <v>150</v>
      </c>
      <c r="K267" s="3">
        <v>6.7</v>
      </c>
      <c r="L267" s="3" t="s">
        <v>76</v>
      </c>
      <c r="M267">
        <f t="shared" si="30"/>
        <v>3103.6666666666665</v>
      </c>
      <c r="N267">
        <f t="shared" si="29"/>
        <v>2920.7094571003936</v>
      </c>
      <c r="O267">
        <f t="shared" si="26"/>
        <v>150</v>
      </c>
      <c r="P267" s="6">
        <f t="shared" si="27"/>
        <v>6.7084078711985684E-2</v>
      </c>
      <c r="Q267" s="6">
        <f t="shared" si="28"/>
        <v>0.30622068743309194</v>
      </c>
    </row>
    <row r="268" spans="1:17" x14ac:dyDescent="0.25">
      <c r="A268" s="2">
        <v>267</v>
      </c>
      <c r="B268" s="2" t="s">
        <v>27</v>
      </c>
      <c r="C268" s="2" t="s">
        <v>28</v>
      </c>
      <c r="D268" s="2" t="s">
        <v>103</v>
      </c>
      <c r="E268" s="2">
        <v>3</v>
      </c>
      <c r="F268" s="2">
        <v>2023</v>
      </c>
      <c r="G268" s="8" t="s">
        <v>79</v>
      </c>
      <c r="H268" s="2">
        <v>2953</v>
      </c>
      <c r="I268" s="2">
        <v>3144</v>
      </c>
      <c r="J268" s="2">
        <v>-191</v>
      </c>
      <c r="K268" s="2">
        <v>6.5</v>
      </c>
      <c r="L268" s="2" t="s">
        <v>76</v>
      </c>
      <c r="M268">
        <f t="shared" si="30"/>
        <v>2691.3333333333335</v>
      </c>
      <c r="N268">
        <f t="shared" si="29"/>
        <v>2715.2966199702751</v>
      </c>
      <c r="O268">
        <f t="shared" si="26"/>
        <v>191</v>
      </c>
      <c r="P268" s="6">
        <f t="shared" si="27"/>
        <v>6.4679986454453095E-2</v>
      </c>
      <c r="Q268" s="6">
        <f t="shared" si="28"/>
        <v>8.049555707068233E-2</v>
      </c>
    </row>
    <row r="269" spans="1:17" x14ac:dyDescent="0.25">
      <c r="A269" s="3">
        <v>268</v>
      </c>
      <c r="B269" s="3" t="s">
        <v>27</v>
      </c>
      <c r="C269" s="3" t="s">
        <v>28</v>
      </c>
      <c r="D269" s="3" t="s">
        <v>103</v>
      </c>
      <c r="E269" s="3">
        <v>4</v>
      </c>
      <c r="F269" s="3">
        <v>2023</v>
      </c>
      <c r="G269" s="9" t="s">
        <v>80</v>
      </c>
      <c r="H269" s="3">
        <v>2995</v>
      </c>
      <c r="I269" s="3">
        <v>2976</v>
      </c>
      <c r="J269" s="3">
        <v>19</v>
      </c>
      <c r="K269" s="3">
        <v>0.6</v>
      </c>
      <c r="L269" s="3" t="s">
        <v>76</v>
      </c>
      <c r="M269">
        <f t="shared" si="30"/>
        <v>2518.3333333333335</v>
      </c>
      <c r="N269">
        <f t="shared" si="29"/>
        <v>2786.6076339791925</v>
      </c>
      <c r="O269">
        <f t="shared" si="26"/>
        <v>19</v>
      </c>
      <c r="P269" s="6">
        <f t="shared" si="27"/>
        <v>6.3439065108514192E-3</v>
      </c>
      <c r="Q269" s="6">
        <f t="shared" si="28"/>
        <v>6.9580088821638547E-2</v>
      </c>
    </row>
    <row r="270" spans="1:17" x14ac:dyDescent="0.25">
      <c r="A270" s="2">
        <v>269</v>
      </c>
      <c r="B270" s="2" t="s">
        <v>27</v>
      </c>
      <c r="C270" s="2" t="s">
        <v>28</v>
      </c>
      <c r="D270" s="2" t="s">
        <v>103</v>
      </c>
      <c r="E270" s="2">
        <v>5</v>
      </c>
      <c r="F270" s="2">
        <v>2023</v>
      </c>
      <c r="G270" s="8" t="s">
        <v>81</v>
      </c>
      <c r="H270" s="2">
        <v>3345</v>
      </c>
      <c r="I270" s="2">
        <v>3641</v>
      </c>
      <c r="J270" s="2">
        <v>-296</v>
      </c>
      <c r="K270" s="2">
        <v>8.8000000000000007</v>
      </c>
      <c r="L270" s="2" t="s">
        <v>83</v>
      </c>
      <c r="M270">
        <f t="shared" si="30"/>
        <v>2728</v>
      </c>
      <c r="N270">
        <f t="shared" si="29"/>
        <v>2849.1253437854348</v>
      </c>
      <c r="O270">
        <f t="shared" si="26"/>
        <v>296</v>
      </c>
      <c r="P270" s="6">
        <f t="shared" si="27"/>
        <v>8.8490284005979067E-2</v>
      </c>
      <c r="Q270" s="6">
        <f t="shared" si="28"/>
        <v>0.14824354445876389</v>
      </c>
    </row>
    <row r="271" spans="1:17" x14ac:dyDescent="0.25">
      <c r="A271" s="3">
        <v>270</v>
      </c>
      <c r="B271" s="3" t="s">
        <v>27</v>
      </c>
      <c r="C271" s="3" t="s">
        <v>28</v>
      </c>
      <c r="D271" s="3" t="s">
        <v>103</v>
      </c>
      <c r="E271" s="3">
        <v>6</v>
      </c>
      <c r="F271" s="3">
        <v>2023</v>
      </c>
      <c r="G271" s="9" t="s">
        <v>82</v>
      </c>
      <c r="H271" s="3">
        <v>3376</v>
      </c>
      <c r="I271" s="3">
        <v>3333</v>
      </c>
      <c r="J271" s="3">
        <v>43</v>
      </c>
      <c r="K271" s="3">
        <v>1.3</v>
      </c>
      <c r="L271" s="3" t="s">
        <v>83</v>
      </c>
      <c r="M271">
        <f t="shared" si="30"/>
        <v>3097.6666666666665</v>
      </c>
      <c r="N271">
        <f t="shared" si="29"/>
        <v>2997.8877406498041</v>
      </c>
      <c r="O271">
        <f t="shared" si="26"/>
        <v>43</v>
      </c>
      <c r="P271" s="6">
        <f t="shared" si="27"/>
        <v>1.2736966824644549E-2</v>
      </c>
      <c r="Q271" s="6">
        <f t="shared" si="28"/>
        <v>0.1120000768217405</v>
      </c>
    </row>
    <row r="272" spans="1:17" x14ac:dyDescent="0.25">
      <c r="A272" s="2">
        <v>271</v>
      </c>
      <c r="B272" s="2" t="s">
        <v>27</v>
      </c>
      <c r="C272" s="2" t="s">
        <v>28</v>
      </c>
      <c r="D272" s="2" t="s">
        <v>103</v>
      </c>
      <c r="E272" s="2">
        <v>7</v>
      </c>
      <c r="F272" s="2">
        <v>2023</v>
      </c>
      <c r="G272" s="8" t="s">
        <v>84</v>
      </c>
      <c r="H272" s="2">
        <v>2920</v>
      </c>
      <c r="I272" s="2">
        <v>2880</v>
      </c>
      <c r="J272" s="2">
        <v>40</v>
      </c>
      <c r="K272" s="2">
        <v>1.4</v>
      </c>
      <c r="L272" s="2" t="s">
        <v>76</v>
      </c>
      <c r="M272">
        <f t="shared" si="30"/>
        <v>3238.6666666666665</v>
      </c>
      <c r="N272">
        <f t="shared" si="29"/>
        <v>3111.3214184548624</v>
      </c>
      <c r="O272">
        <f t="shared" si="26"/>
        <v>40</v>
      </c>
      <c r="P272" s="6">
        <f t="shared" si="27"/>
        <v>1.3698630136986301E-2</v>
      </c>
      <c r="Q272" s="6">
        <f t="shared" si="28"/>
        <v>6.5521033717418631E-2</v>
      </c>
    </row>
    <row r="273" spans="1:17" x14ac:dyDescent="0.25">
      <c r="A273" s="3">
        <v>272</v>
      </c>
      <c r="B273" s="3" t="s">
        <v>27</v>
      </c>
      <c r="C273" s="3" t="s">
        <v>28</v>
      </c>
      <c r="D273" s="3" t="s">
        <v>103</v>
      </c>
      <c r="E273" s="3">
        <v>8</v>
      </c>
      <c r="F273" s="3">
        <v>2023</v>
      </c>
      <c r="G273" s="9" t="s">
        <v>85</v>
      </c>
      <c r="H273" s="3">
        <v>3271</v>
      </c>
      <c r="I273" s="3">
        <v>2960</v>
      </c>
      <c r="J273" s="3">
        <v>311</v>
      </c>
      <c r="K273" s="3">
        <v>9.5</v>
      </c>
      <c r="L273" s="3" t="s">
        <v>78</v>
      </c>
      <c r="M273">
        <f t="shared" si="30"/>
        <v>3213.6666666666665</v>
      </c>
      <c r="N273">
        <f t="shared" si="29"/>
        <v>3053.9249929184034</v>
      </c>
      <c r="O273">
        <f t="shared" si="26"/>
        <v>311</v>
      </c>
      <c r="P273" s="6">
        <f t="shared" si="27"/>
        <v>9.5077957811066954E-2</v>
      </c>
      <c r="Q273" s="6">
        <f t="shared" si="28"/>
        <v>6.6363499566370096E-2</v>
      </c>
    </row>
    <row r="274" spans="1:17" x14ac:dyDescent="0.25">
      <c r="A274" s="2">
        <v>273</v>
      </c>
      <c r="B274" s="2" t="s">
        <v>27</v>
      </c>
      <c r="C274" s="2" t="s">
        <v>28</v>
      </c>
      <c r="D274" s="2" t="s">
        <v>103</v>
      </c>
      <c r="E274" s="2">
        <v>9</v>
      </c>
      <c r="F274" s="2">
        <v>2023</v>
      </c>
      <c r="G274" s="8" t="s">
        <v>86</v>
      </c>
      <c r="H274" s="2">
        <v>3377</v>
      </c>
      <c r="I274" s="2">
        <v>3603</v>
      </c>
      <c r="J274" s="2">
        <v>-226</v>
      </c>
      <c r="K274" s="2">
        <v>6.7</v>
      </c>
      <c r="L274" s="2" t="s">
        <v>83</v>
      </c>
      <c r="M274">
        <f t="shared" si="30"/>
        <v>3189</v>
      </c>
      <c r="N274">
        <f t="shared" si="29"/>
        <v>3119.0474950428825</v>
      </c>
      <c r="O274">
        <f t="shared" si="26"/>
        <v>226</v>
      </c>
      <c r="P274" s="6">
        <f t="shared" si="27"/>
        <v>6.6923304708320988E-2</v>
      </c>
      <c r="Q274" s="6">
        <f t="shared" si="28"/>
        <v>7.6385106590795837E-2</v>
      </c>
    </row>
    <row r="275" spans="1:17" x14ac:dyDescent="0.25">
      <c r="A275" s="3">
        <v>274</v>
      </c>
      <c r="B275" s="3" t="s">
        <v>27</v>
      </c>
      <c r="C275" s="3" t="s">
        <v>28</v>
      </c>
      <c r="D275" s="3" t="s">
        <v>103</v>
      </c>
      <c r="E275" s="3">
        <v>10</v>
      </c>
      <c r="F275" s="3">
        <v>2023</v>
      </c>
      <c r="G275" s="9" t="s">
        <v>87</v>
      </c>
      <c r="H275" s="3">
        <v>3413</v>
      </c>
      <c r="I275" s="3">
        <v>3085</v>
      </c>
      <c r="J275" s="3">
        <v>328</v>
      </c>
      <c r="K275" s="3">
        <v>9.6</v>
      </c>
      <c r="L275" s="3" t="s">
        <v>83</v>
      </c>
      <c r="M275">
        <f t="shared" si="30"/>
        <v>3189.3333333333335</v>
      </c>
      <c r="N275">
        <f t="shared" si="29"/>
        <v>3196.4332465300176</v>
      </c>
      <c r="O275">
        <f t="shared" si="26"/>
        <v>328</v>
      </c>
      <c r="P275" s="6">
        <f t="shared" si="27"/>
        <v>9.6103135071784349E-2</v>
      </c>
      <c r="Q275" s="6">
        <f t="shared" si="28"/>
        <v>6.3453487685315668E-2</v>
      </c>
    </row>
    <row r="276" spans="1:17" x14ac:dyDescent="0.25">
      <c r="A276" s="2">
        <v>275</v>
      </c>
      <c r="B276" s="2" t="s">
        <v>27</v>
      </c>
      <c r="C276" s="2" t="s">
        <v>28</v>
      </c>
      <c r="D276" s="2" t="s">
        <v>103</v>
      </c>
      <c r="E276" s="2">
        <v>11</v>
      </c>
      <c r="F276" s="2">
        <v>2023</v>
      </c>
      <c r="G276" s="8" t="s">
        <v>88</v>
      </c>
      <c r="H276" s="2">
        <v>4093</v>
      </c>
      <c r="I276" s="2">
        <v>4155</v>
      </c>
      <c r="J276" s="2">
        <v>-62</v>
      </c>
      <c r="K276" s="2">
        <v>1.5</v>
      </c>
      <c r="L276" s="2" t="s">
        <v>78</v>
      </c>
      <c r="M276">
        <f t="shared" si="30"/>
        <v>3353.6666666666665</v>
      </c>
      <c r="N276">
        <f t="shared" si="29"/>
        <v>3261.4032725710122</v>
      </c>
      <c r="O276">
        <f t="shared" si="26"/>
        <v>62</v>
      </c>
      <c r="P276" s="6">
        <f t="shared" si="27"/>
        <v>1.5147813339848522E-2</v>
      </c>
      <c r="Q276" s="6">
        <f t="shared" si="28"/>
        <v>0.20317535485682575</v>
      </c>
    </row>
    <row r="277" spans="1:17" x14ac:dyDescent="0.25">
      <c r="A277" s="3">
        <v>276</v>
      </c>
      <c r="B277" s="3" t="s">
        <v>27</v>
      </c>
      <c r="C277" s="3" t="s">
        <v>28</v>
      </c>
      <c r="D277" s="3" t="s">
        <v>103</v>
      </c>
      <c r="E277" s="3">
        <v>12</v>
      </c>
      <c r="F277" s="3">
        <v>2023</v>
      </c>
      <c r="G277" s="9" t="s">
        <v>89</v>
      </c>
      <c r="H277" s="3">
        <v>3924</v>
      </c>
      <c r="I277" s="3">
        <v>4042</v>
      </c>
      <c r="J277" s="3">
        <v>-118</v>
      </c>
      <c r="K277" s="3">
        <v>3</v>
      </c>
      <c r="L277" s="3" t="s">
        <v>76</v>
      </c>
      <c r="M277">
        <f t="shared" si="30"/>
        <v>3627.6666666666665</v>
      </c>
      <c r="N277">
        <f t="shared" si="29"/>
        <v>3510.8822907997082</v>
      </c>
      <c r="O277">
        <f t="shared" si="26"/>
        <v>118</v>
      </c>
      <c r="P277" s="6">
        <f t="shared" si="27"/>
        <v>3.0071355759429153E-2</v>
      </c>
      <c r="Q277" s="6">
        <f t="shared" si="28"/>
        <v>0.10527974240578281</v>
      </c>
    </row>
    <row r="278" spans="1:17" x14ac:dyDescent="0.25">
      <c r="A278" s="2">
        <v>277</v>
      </c>
      <c r="B278" s="2" t="s">
        <v>27</v>
      </c>
      <c r="C278" s="2" t="s">
        <v>28</v>
      </c>
      <c r="D278" s="2" t="s">
        <v>103</v>
      </c>
      <c r="E278" s="2">
        <v>1</v>
      </c>
      <c r="F278" s="2">
        <v>2024</v>
      </c>
      <c r="G278" s="8" t="s">
        <v>90</v>
      </c>
      <c r="H278" s="2">
        <v>2386</v>
      </c>
      <c r="I278" s="2">
        <v>2426</v>
      </c>
      <c r="J278" s="2">
        <v>-40</v>
      </c>
      <c r="K278" s="2">
        <v>1.7</v>
      </c>
      <c r="L278" s="2" t="s">
        <v>83</v>
      </c>
      <c r="M278">
        <f t="shared" si="30"/>
        <v>3810</v>
      </c>
      <c r="N278">
        <f t="shared" si="29"/>
        <v>3634.8176035597953</v>
      </c>
      <c r="O278">
        <f t="shared" si="26"/>
        <v>40</v>
      </c>
      <c r="P278" s="6">
        <f t="shared" si="27"/>
        <v>1.6764459346186086E-2</v>
      </c>
      <c r="Q278" s="6">
        <f t="shared" si="28"/>
        <v>0.52339379864199298</v>
      </c>
    </row>
    <row r="279" spans="1:17" x14ac:dyDescent="0.25">
      <c r="A279" s="3">
        <v>278</v>
      </c>
      <c r="B279" s="3" t="s">
        <v>27</v>
      </c>
      <c r="C279" s="3" t="s">
        <v>28</v>
      </c>
      <c r="D279" s="3" t="s">
        <v>103</v>
      </c>
      <c r="E279" s="3">
        <v>2</v>
      </c>
      <c r="F279" s="3">
        <v>2024</v>
      </c>
      <c r="G279" s="9" t="s">
        <v>91</v>
      </c>
      <c r="H279" s="3">
        <v>2680</v>
      </c>
      <c r="I279" s="3">
        <v>2931</v>
      </c>
      <c r="J279" s="3">
        <v>-251</v>
      </c>
      <c r="K279" s="3">
        <v>9.4</v>
      </c>
      <c r="L279" s="3" t="s">
        <v>76</v>
      </c>
      <c r="M279">
        <f t="shared" si="30"/>
        <v>3467.6666666666665</v>
      </c>
      <c r="N279">
        <f t="shared" si="29"/>
        <v>3260.1723224918569</v>
      </c>
      <c r="O279">
        <f t="shared" si="26"/>
        <v>251</v>
      </c>
      <c r="P279" s="6">
        <f t="shared" si="27"/>
        <v>9.3656716417910443E-2</v>
      </c>
      <c r="Q279" s="6">
        <f t="shared" si="28"/>
        <v>0.21648220988502123</v>
      </c>
    </row>
    <row r="280" spans="1:17" x14ac:dyDescent="0.25">
      <c r="A280" s="2">
        <v>279</v>
      </c>
      <c r="B280" s="2" t="s">
        <v>27</v>
      </c>
      <c r="C280" s="2" t="s">
        <v>28</v>
      </c>
      <c r="D280" s="2" t="s">
        <v>103</v>
      </c>
      <c r="E280" s="2">
        <v>3</v>
      </c>
      <c r="F280" s="2">
        <v>2024</v>
      </c>
      <c r="G280" s="8" t="s">
        <v>92</v>
      </c>
      <c r="H280" s="2">
        <v>2782</v>
      </c>
      <c r="I280" s="2">
        <v>2689</v>
      </c>
      <c r="J280" s="2">
        <v>93</v>
      </c>
      <c r="K280" s="2">
        <v>3.3</v>
      </c>
      <c r="L280" s="2" t="s">
        <v>83</v>
      </c>
      <c r="M280">
        <f t="shared" si="30"/>
        <v>2996.6666666666665</v>
      </c>
      <c r="N280">
        <f t="shared" si="29"/>
        <v>3086.1206257442996</v>
      </c>
      <c r="O280">
        <f t="shared" si="26"/>
        <v>93</v>
      </c>
      <c r="P280" s="6">
        <f t="shared" si="27"/>
        <v>3.3429187634795111E-2</v>
      </c>
      <c r="Q280" s="6">
        <f t="shared" si="28"/>
        <v>0.10931726302814507</v>
      </c>
    </row>
    <row r="281" spans="1:17" x14ac:dyDescent="0.25">
      <c r="A281" s="3">
        <v>280</v>
      </c>
      <c r="B281" s="3" t="s">
        <v>27</v>
      </c>
      <c r="C281" s="3" t="s">
        <v>28</v>
      </c>
      <c r="D281" s="3" t="s">
        <v>103</v>
      </c>
      <c r="E281" s="3">
        <v>4</v>
      </c>
      <c r="F281" s="3">
        <v>2024</v>
      </c>
      <c r="G281" s="9" t="s">
        <v>93</v>
      </c>
      <c r="H281" s="3">
        <v>2751</v>
      </c>
      <c r="I281" s="3">
        <v>2564</v>
      </c>
      <c r="J281" s="3">
        <v>187</v>
      </c>
      <c r="K281" s="3">
        <v>6.8</v>
      </c>
      <c r="L281" s="3" t="s">
        <v>76</v>
      </c>
      <c r="M281">
        <f t="shared" si="30"/>
        <v>2616</v>
      </c>
      <c r="N281">
        <f t="shared" si="29"/>
        <v>2994.8844380210094</v>
      </c>
      <c r="O281">
        <f t="shared" si="26"/>
        <v>187</v>
      </c>
      <c r="P281" s="6">
        <f t="shared" si="27"/>
        <v>6.797528171573973E-2</v>
      </c>
      <c r="Q281" s="6">
        <f t="shared" si="28"/>
        <v>8.8653012730283309E-2</v>
      </c>
    </row>
    <row r="282" spans="1:17" x14ac:dyDescent="0.25">
      <c r="A282" s="2">
        <v>281</v>
      </c>
      <c r="B282" s="2" t="s">
        <v>27</v>
      </c>
      <c r="C282" s="2" t="s">
        <v>28</v>
      </c>
      <c r="D282" s="2" t="s">
        <v>103</v>
      </c>
      <c r="E282" s="2">
        <v>5</v>
      </c>
      <c r="F282" s="2">
        <v>2024</v>
      </c>
      <c r="G282" s="8" t="s">
        <v>94</v>
      </c>
      <c r="H282" s="2">
        <v>3340</v>
      </c>
      <c r="I282" s="2">
        <v>3198</v>
      </c>
      <c r="J282" s="2">
        <v>142</v>
      </c>
      <c r="K282" s="2">
        <v>4.3</v>
      </c>
      <c r="L282" s="2" t="s">
        <v>76</v>
      </c>
      <c r="M282">
        <f t="shared" si="30"/>
        <v>2737.6666666666665</v>
      </c>
      <c r="N282">
        <f t="shared" si="29"/>
        <v>2921.7191066147061</v>
      </c>
      <c r="O282">
        <f t="shared" si="26"/>
        <v>142</v>
      </c>
      <c r="P282" s="6">
        <f t="shared" si="27"/>
        <v>4.2514970059880239E-2</v>
      </c>
      <c r="Q282" s="6">
        <f t="shared" si="28"/>
        <v>0.12523380041475865</v>
      </c>
    </row>
    <row r="283" spans="1:17" x14ac:dyDescent="0.25">
      <c r="A283" s="3">
        <v>282</v>
      </c>
      <c r="B283" s="3" t="s">
        <v>27</v>
      </c>
      <c r="C283" s="3" t="s">
        <v>28</v>
      </c>
      <c r="D283" s="3" t="s">
        <v>103</v>
      </c>
      <c r="E283" s="3">
        <v>6</v>
      </c>
      <c r="F283" s="3">
        <v>2024</v>
      </c>
      <c r="G283" s="9" t="s">
        <v>95</v>
      </c>
      <c r="H283" s="3">
        <v>3595</v>
      </c>
      <c r="I283" s="3">
        <v>3631</v>
      </c>
      <c r="J283" s="3">
        <v>-36</v>
      </c>
      <c r="K283" s="3">
        <v>1</v>
      </c>
      <c r="L283" s="3" t="s">
        <v>76</v>
      </c>
      <c r="M283">
        <f t="shared" si="30"/>
        <v>2957.6666666666665</v>
      </c>
      <c r="N283">
        <f t="shared" si="29"/>
        <v>3047.2033746302941</v>
      </c>
      <c r="O283">
        <f t="shared" si="26"/>
        <v>36</v>
      </c>
      <c r="P283" s="6">
        <f t="shared" si="27"/>
        <v>1.0013908205841447E-2</v>
      </c>
      <c r="Q283" s="6">
        <f t="shared" si="28"/>
        <v>0.15237736449783196</v>
      </c>
    </row>
    <row r="284" spans="1:17" x14ac:dyDescent="0.25">
      <c r="A284" s="2">
        <v>283</v>
      </c>
      <c r="B284" s="2" t="s">
        <v>27</v>
      </c>
      <c r="C284" s="2" t="s">
        <v>28</v>
      </c>
      <c r="D284" s="2" t="s">
        <v>103</v>
      </c>
      <c r="E284" s="2">
        <v>7</v>
      </c>
      <c r="F284" s="2">
        <v>2024</v>
      </c>
      <c r="G284" s="8" t="s">
        <v>96</v>
      </c>
      <c r="H284" s="2">
        <v>2958</v>
      </c>
      <c r="I284" s="2">
        <v>2811</v>
      </c>
      <c r="J284" s="2">
        <v>147</v>
      </c>
      <c r="K284" s="2">
        <v>5</v>
      </c>
      <c r="L284" s="2" t="s">
        <v>78</v>
      </c>
      <c r="M284">
        <f t="shared" si="30"/>
        <v>3228.6666666666665</v>
      </c>
      <c r="N284">
        <f t="shared" si="29"/>
        <v>3211.5423622412059</v>
      </c>
      <c r="O284">
        <f t="shared" si="26"/>
        <v>147</v>
      </c>
      <c r="P284" s="6">
        <f t="shared" si="27"/>
        <v>4.9695740365111561E-2</v>
      </c>
      <c r="Q284" s="6">
        <f t="shared" si="28"/>
        <v>8.5714118404734904E-2</v>
      </c>
    </row>
    <row r="285" spans="1:17" x14ac:dyDescent="0.25">
      <c r="A285" s="3">
        <v>284</v>
      </c>
      <c r="B285" s="3" t="s">
        <v>27</v>
      </c>
      <c r="C285" s="3" t="s">
        <v>28</v>
      </c>
      <c r="D285" s="3" t="s">
        <v>103</v>
      </c>
      <c r="E285" s="3">
        <v>8</v>
      </c>
      <c r="F285" s="3">
        <v>2024</v>
      </c>
      <c r="G285" s="9" t="s">
        <v>97</v>
      </c>
      <c r="H285" s="3">
        <v>3552</v>
      </c>
      <c r="I285" s="3">
        <v>3483</v>
      </c>
      <c r="J285" s="3">
        <v>69</v>
      </c>
      <c r="K285" s="3">
        <v>1.9</v>
      </c>
      <c r="L285" s="3" t="s">
        <v>83</v>
      </c>
      <c r="M285">
        <f t="shared" si="30"/>
        <v>3297.6666666666665</v>
      </c>
      <c r="N285">
        <f t="shared" si="29"/>
        <v>3135.4796535688442</v>
      </c>
      <c r="O285">
        <f t="shared" si="26"/>
        <v>69</v>
      </c>
      <c r="P285" s="6">
        <f t="shared" si="27"/>
        <v>1.9425675675675675E-2</v>
      </c>
      <c r="Q285" s="6">
        <f t="shared" si="28"/>
        <v>0.11726361104480737</v>
      </c>
    </row>
    <row r="286" spans="1:17" x14ac:dyDescent="0.25">
      <c r="A286" s="2">
        <v>285</v>
      </c>
      <c r="B286" s="2" t="s">
        <v>27</v>
      </c>
      <c r="C286" s="2" t="s">
        <v>28</v>
      </c>
      <c r="D286" s="2" t="s">
        <v>103</v>
      </c>
      <c r="E286" s="2">
        <v>9</v>
      </c>
      <c r="F286" s="2">
        <v>2024</v>
      </c>
      <c r="G286" s="8" t="s">
        <v>98</v>
      </c>
      <c r="H286" s="2">
        <v>3277</v>
      </c>
      <c r="I286" s="2">
        <v>2950</v>
      </c>
      <c r="J286" s="2">
        <v>327</v>
      </c>
      <c r="K286" s="2">
        <v>10</v>
      </c>
      <c r="L286" s="2" t="s">
        <v>83</v>
      </c>
      <c r="M286">
        <f t="shared" si="30"/>
        <v>3368.3333333333335</v>
      </c>
      <c r="N286">
        <f t="shared" si="29"/>
        <v>3260.4357574981909</v>
      </c>
      <c r="O286">
        <f t="shared" si="26"/>
        <v>327</v>
      </c>
      <c r="P286" s="6">
        <f t="shared" si="27"/>
        <v>9.9786389990845284E-2</v>
      </c>
      <c r="Q286" s="6">
        <f t="shared" si="28"/>
        <v>5.0546971320747864E-3</v>
      </c>
    </row>
    <row r="287" spans="1:17" x14ac:dyDescent="0.25">
      <c r="A287" s="3">
        <v>286</v>
      </c>
      <c r="B287" s="3" t="s">
        <v>27</v>
      </c>
      <c r="C287" s="3" t="s">
        <v>28</v>
      </c>
      <c r="D287" s="3" t="s">
        <v>103</v>
      </c>
      <c r="E287" s="3">
        <v>10</v>
      </c>
      <c r="F287" s="3">
        <v>2024</v>
      </c>
      <c r="G287" s="9" t="s">
        <v>99</v>
      </c>
      <c r="H287" s="3">
        <v>3313</v>
      </c>
      <c r="I287" s="3">
        <v>3017</v>
      </c>
      <c r="J287" s="3">
        <v>296</v>
      </c>
      <c r="K287" s="3">
        <v>8.9</v>
      </c>
      <c r="L287" s="3" t="s">
        <v>83</v>
      </c>
      <c r="M287">
        <f t="shared" si="30"/>
        <v>3262.3333333333335</v>
      </c>
      <c r="N287">
        <f t="shared" si="29"/>
        <v>3265.4050302487335</v>
      </c>
      <c r="O287">
        <f t="shared" si="26"/>
        <v>296</v>
      </c>
      <c r="P287" s="6">
        <f t="shared" si="27"/>
        <v>8.9345004527618468E-2</v>
      </c>
      <c r="Q287" s="6">
        <f t="shared" si="28"/>
        <v>1.4366124283509354E-2</v>
      </c>
    </row>
    <row r="288" spans="1:17" x14ac:dyDescent="0.25">
      <c r="A288" s="2">
        <v>287</v>
      </c>
      <c r="B288" s="2" t="s">
        <v>27</v>
      </c>
      <c r="C288" s="2" t="s">
        <v>28</v>
      </c>
      <c r="D288" s="2" t="s">
        <v>103</v>
      </c>
      <c r="E288" s="2">
        <v>11</v>
      </c>
      <c r="F288" s="2">
        <v>2024</v>
      </c>
      <c r="G288" s="8" t="s">
        <v>100</v>
      </c>
      <c r="H288" s="2">
        <v>3673</v>
      </c>
      <c r="I288" s="2">
        <v>3861</v>
      </c>
      <c r="J288" s="2">
        <v>-188</v>
      </c>
      <c r="K288" s="2">
        <v>5.0999999999999996</v>
      </c>
      <c r="L288" s="2" t="s">
        <v>83</v>
      </c>
      <c r="M288">
        <f t="shared" si="30"/>
        <v>3380.6666666666665</v>
      </c>
      <c r="N288">
        <f t="shared" si="29"/>
        <v>3279.6835211741136</v>
      </c>
      <c r="O288">
        <f t="shared" si="26"/>
        <v>188</v>
      </c>
      <c r="P288" s="6">
        <f t="shared" si="27"/>
        <v>5.1184317996188403E-2</v>
      </c>
      <c r="Q288" s="6">
        <f t="shared" si="28"/>
        <v>0.10708316875194293</v>
      </c>
    </row>
    <row r="289" spans="1:17" x14ac:dyDescent="0.25">
      <c r="A289" s="3">
        <v>288</v>
      </c>
      <c r="B289" s="3" t="s">
        <v>27</v>
      </c>
      <c r="C289" s="3" t="s">
        <v>28</v>
      </c>
      <c r="D289" s="3" t="s">
        <v>103</v>
      </c>
      <c r="E289" s="3">
        <v>12</v>
      </c>
      <c r="F289" s="3">
        <v>2024</v>
      </c>
      <c r="G289" s="9" t="s">
        <v>101</v>
      </c>
      <c r="H289" s="3">
        <v>3897</v>
      </c>
      <c r="I289" s="3">
        <v>3547</v>
      </c>
      <c r="J289" s="3">
        <v>350</v>
      </c>
      <c r="K289" s="3">
        <v>9</v>
      </c>
      <c r="L289" s="3" t="s">
        <v>76</v>
      </c>
      <c r="M289">
        <f t="shared" si="30"/>
        <v>3421</v>
      </c>
      <c r="N289">
        <f t="shared" si="29"/>
        <v>3397.6784648218791</v>
      </c>
      <c r="O289">
        <f t="shared" si="26"/>
        <v>350</v>
      </c>
      <c r="P289" s="6">
        <f t="shared" si="27"/>
        <v>8.9812676417757253E-2</v>
      </c>
      <c r="Q289" s="6">
        <f t="shared" si="28"/>
        <v>0.12812972419248678</v>
      </c>
    </row>
    <row r="290" spans="1:17" x14ac:dyDescent="0.25">
      <c r="A290" s="2">
        <v>289</v>
      </c>
      <c r="B290" s="2" t="s">
        <v>30</v>
      </c>
      <c r="C290" s="2" t="s">
        <v>31</v>
      </c>
      <c r="D290" s="2" t="s">
        <v>74</v>
      </c>
      <c r="E290" s="2">
        <v>1</v>
      </c>
      <c r="F290" s="2">
        <v>2023</v>
      </c>
      <c r="G290" s="8" t="s">
        <v>75</v>
      </c>
      <c r="H290" s="2">
        <v>10320</v>
      </c>
      <c r="I290" s="2">
        <v>11202</v>
      </c>
      <c r="J290" s="2">
        <v>-882</v>
      </c>
      <c r="K290" s="2">
        <v>8.5</v>
      </c>
      <c r="L290" s="2" t="s">
        <v>76</v>
      </c>
      <c r="M290">
        <f t="shared" si="30"/>
        <v>3627.6666666666665</v>
      </c>
      <c r="N290">
        <f t="shared" si="29"/>
        <v>3547.4749253753153</v>
      </c>
      <c r="O290">
        <f t="shared" si="26"/>
        <v>882</v>
      </c>
      <c r="P290" s="6">
        <f t="shared" si="27"/>
        <v>8.5465116279069761E-2</v>
      </c>
      <c r="Q290" s="6">
        <f t="shared" si="28"/>
        <v>0.65625242971169429</v>
      </c>
    </row>
    <row r="291" spans="1:17" x14ac:dyDescent="0.25">
      <c r="A291" s="3">
        <v>290</v>
      </c>
      <c r="B291" s="3" t="s">
        <v>30</v>
      </c>
      <c r="C291" s="3" t="s">
        <v>31</v>
      </c>
      <c r="D291" s="3" t="s">
        <v>74</v>
      </c>
      <c r="E291" s="3">
        <v>2</v>
      </c>
      <c r="F291" s="3">
        <v>2023</v>
      </c>
      <c r="G291" s="9" t="s">
        <v>77</v>
      </c>
      <c r="H291" s="3">
        <v>10739</v>
      </c>
      <c r="I291" s="3">
        <v>10706</v>
      </c>
      <c r="J291" s="3">
        <v>33</v>
      </c>
      <c r="K291" s="3">
        <v>0.3</v>
      </c>
      <c r="L291" s="3" t="s">
        <v>78</v>
      </c>
      <c r="M291">
        <f t="shared" si="30"/>
        <v>5963.333333333333</v>
      </c>
      <c r="N291">
        <f t="shared" si="29"/>
        <v>5579.2324477627208</v>
      </c>
      <c r="O291">
        <f t="shared" si="26"/>
        <v>33</v>
      </c>
      <c r="P291" s="6">
        <f t="shared" si="27"/>
        <v>3.0729118167427136E-3</v>
      </c>
      <c r="Q291" s="6">
        <f t="shared" si="28"/>
        <v>0.48047002069441097</v>
      </c>
    </row>
    <row r="292" spans="1:17" x14ac:dyDescent="0.25">
      <c r="A292" s="2">
        <v>291</v>
      </c>
      <c r="B292" s="2" t="s">
        <v>30</v>
      </c>
      <c r="C292" s="2" t="s">
        <v>31</v>
      </c>
      <c r="D292" s="2" t="s">
        <v>74</v>
      </c>
      <c r="E292" s="2">
        <v>3</v>
      </c>
      <c r="F292" s="2">
        <v>2023</v>
      </c>
      <c r="G292" s="8" t="s">
        <v>79</v>
      </c>
      <c r="H292" s="2">
        <v>12694</v>
      </c>
      <c r="I292" s="2">
        <v>12970</v>
      </c>
      <c r="J292" s="2">
        <v>-276</v>
      </c>
      <c r="K292" s="2">
        <v>2.2000000000000002</v>
      </c>
      <c r="L292" s="2" t="s">
        <v>78</v>
      </c>
      <c r="M292">
        <f t="shared" si="30"/>
        <v>8318.6666666666661</v>
      </c>
      <c r="N292">
        <f t="shared" si="29"/>
        <v>7127.1627134339042</v>
      </c>
      <c r="O292">
        <f t="shared" si="26"/>
        <v>276</v>
      </c>
      <c r="P292" s="6">
        <f t="shared" si="27"/>
        <v>2.1742555538049473E-2</v>
      </c>
      <c r="Q292" s="6">
        <f t="shared" si="28"/>
        <v>0.43854082925524623</v>
      </c>
    </row>
    <row r="293" spans="1:17" x14ac:dyDescent="0.25">
      <c r="A293" s="3">
        <v>292</v>
      </c>
      <c r="B293" s="3" t="s">
        <v>30</v>
      </c>
      <c r="C293" s="3" t="s">
        <v>31</v>
      </c>
      <c r="D293" s="3" t="s">
        <v>74</v>
      </c>
      <c r="E293" s="3">
        <v>4</v>
      </c>
      <c r="F293" s="3">
        <v>2023</v>
      </c>
      <c r="G293" s="9" t="s">
        <v>80</v>
      </c>
      <c r="H293" s="3">
        <v>12604</v>
      </c>
      <c r="I293" s="3">
        <v>12126</v>
      </c>
      <c r="J293" s="3">
        <v>478</v>
      </c>
      <c r="K293" s="3">
        <v>3.8</v>
      </c>
      <c r="L293" s="3" t="s">
        <v>78</v>
      </c>
      <c r="M293">
        <f t="shared" si="30"/>
        <v>11251</v>
      </c>
      <c r="N293">
        <f t="shared" si="29"/>
        <v>8797.2138994037323</v>
      </c>
      <c r="O293">
        <f t="shared" si="26"/>
        <v>478</v>
      </c>
      <c r="P293" s="6">
        <f t="shared" si="27"/>
        <v>3.7924468422722943E-2</v>
      </c>
      <c r="Q293" s="6">
        <f t="shared" si="28"/>
        <v>0.30202999846050999</v>
      </c>
    </row>
    <row r="294" spans="1:17" x14ac:dyDescent="0.25">
      <c r="A294" s="2">
        <v>293</v>
      </c>
      <c r="B294" s="2" t="s">
        <v>30</v>
      </c>
      <c r="C294" s="2" t="s">
        <v>31</v>
      </c>
      <c r="D294" s="2" t="s">
        <v>74</v>
      </c>
      <c r="E294" s="2">
        <v>5</v>
      </c>
      <c r="F294" s="2">
        <v>2023</v>
      </c>
      <c r="G294" s="8" t="s">
        <v>81</v>
      </c>
      <c r="H294" s="2">
        <v>12758</v>
      </c>
      <c r="I294" s="2">
        <v>11720</v>
      </c>
      <c r="J294" s="2">
        <v>1038</v>
      </c>
      <c r="K294" s="2">
        <v>8.1</v>
      </c>
      <c r="L294" s="2" t="s">
        <v>78</v>
      </c>
      <c r="M294">
        <f t="shared" si="30"/>
        <v>12012.333333333334</v>
      </c>
      <c r="N294">
        <f t="shared" si="29"/>
        <v>9939.2497295826124</v>
      </c>
      <c r="O294">
        <f t="shared" si="26"/>
        <v>1038</v>
      </c>
      <c r="P294" s="6">
        <f t="shared" si="27"/>
        <v>8.1360714845587087E-2</v>
      </c>
      <c r="Q294" s="6">
        <f t="shared" si="28"/>
        <v>0.22093982367278472</v>
      </c>
    </row>
    <row r="295" spans="1:17" x14ac:dyDescent="0.25">
      <c r="A295" s="3">
        <v>294</v>
      </c>
      <c r="B295" s="3" t="s">
        <v>30</v>
      </c>
      <c r="C295" s="3" t="s">
        <v>31</v>
      </c>
      <c r="D295" s="3" t="s">
        <v>74</v>
      </c>
      <c r="E295" s="3">
        <v>6</v>
      </c>
      <c r="F295" s="3">
        <v>2023</v>
      </c>
      <c r="G295" s="9" t="s">
        <v>82</v>
      </c>
      <c r="H295" s="3">
        <v>13077</v>
      </c>
      <c r="I295" s="3">
        <v>12076</v>
      </c>
      <c r="J295" s="3">
        <v>1001</v>
      </c>
      <c r="K295" s="3">
        <v>7.7</v>
      </c>
      <c r="L295" s="3" t="s">
        <v>78</v>
      </c>
      <c r="M295">
        <f t="shared" si="30"/>
        <v>12685.333333333334</v>
      </c>
      <c r="N295">
        <f t="shared" si="29"/>
        <v>10784.874810707828</v>
      </c>
      <c r="O295">
        <f t="shared" si="26"/>
        <v>1001</v>
      </c>
      <c r="P295" s="6">
        <f t="shared" si="27"/>
        <v>7.6546608549361475E-2</v>
      </c>
      <c r="Q295" s="6">
        <f t="shared" si="28"/>
        <v>0.17527913048039856</v>
      </c>
    </row>
    <row r="296" spans="1:17" x14ac:dyDescent="0.25">
      <c r="A296" s="2">
        <v>295</v>
      </c>
      <c r="B296" s="2" t="s">
        <v>30</v>
      </c>
      <c r="C296" s="2" t="s">
        <v>31</v>
      </c>
      <c r="D296" s="2" t="s">
        <v>74</v>
      </c>
      <c r="E296" s="2">
        <v>7</v>
      </c>
      <c r="F296" s="2">
        <v>2023</v>
      </c>
      <c r="G296" s="8" t="s">
        <v>84</v>
      </c>
      <c r="H296" s="2">
        <v>12954</v>
      </c>
      <c r="I296" s="2">
        <v>13515</v>
      </c>
      <c r="J296" s="2">
        <v>-561</v>
      </c>
      <c r="K296" s="2">
        <v>4.3</v>
      </c>
      <c r="L296" s="2" t="s">
        <v>83</v>
      </c>
      <c r="M296">
        <f t="shared" si="30"/>
        <v>12813</v>
      </c>
      <c r="N296">
        <f t="shared" si="29"/>
        <v>11472.512367495479</v>
      </c>
      <c r="O296">
        <f t="shared" si="26"/>
        <v>561</v>
      </c>
      <c r="P296" s="6">
        <f t="shared" si="27"/>
        <v>4.3307086614173228E-2</v>
      </c>
      <c r="Q296" s="6">
        <f t="shared" si="28"/>
        <v>0.11436526420445582</v>
      </c>
    </row>
    <row r="297" spans="1:17" x14ac:dyDescent="0.25">
      <c r="A297" s="3">
        <v>296</v>
      </c>
      <c r="B297" s="3" t="s">
        <v>30</v>
      </c>
      <c r="C297" s="3" t="s">
        <v>31</v>
      </c>
      <c r="D297" s="3" t="s">
        <v>74</v>
      </c>
      <c r="E297" s="3">
        <v>8</v>
      </c>
      <c r="F297" s="3">
        <v>2023</v>
      </c>
      <c r="G297" s="9" t="s">
        <v>85</v>
      </c>
      <c r="H297" s="3">
        <v>13221</v>
      </c>
      <c r="I297" s="3">
        <v>12997</v>
      </c>
      <c r="J297" s="3">
        <v>224</v>
      </c>
      <c r="K297" s="3">
        <v>1.7</v>
      </c>
      <c r="L297" s="3" t="s">
        <v>76</v>
      </c>
      <c r="M297">
        <f t="shared" si="30"/>
        <v>12929.666666666666</v>
      </c>
      <c r="N297">
        <f t="shared" si="29"/>
        <v>11916.958657246836</v>
      </c>
      <c r="O297">
        <f t="shared" si="26"/>
        <v>224</v>
      </c>
      <c r="P297" s="6">
        <f t="shared" si="27"/>
        <v>1.6942742606459421E-2</v>
      </c>
      <c r="Q297" s="6">
        <f t="shared" si="28"/>
        <v>9.8634092939502607E-2</v>
      </c>
    </row>
    <row r="298" spans="1:17" x14ac:dyDescent="0.25">
      <c r="A298" s="2">
        <v>297</v>
      </c>
      <c r="B298" s="2" t="s">
        <v>30</v>
      </c>
      <c r="C298" s="2" t="s">
        <v>31</v>
      </c>
      <c r="D298" s="2" t="s">
        <v>74</v>
      </c>
      <c r="E298" s="2">
        <v>9</v>
      </c>
      <c r="F298" s="2">
        <v>2023</v>
      </c>
      <c r="G298" s="8" t="s">
        <v>86</v>
      </c>
      <c r="H298" s="2">
        <v>13383</v>
      </c>
      <c r="I298" s="2">
        <v>12697</v>
      </c>
      <c r="J298" s="2">
        <v>686</v>
      </c>
      <c r="K298" s="2">
        <v>5.0999999999999996</v>
      </c>
      <c r="L298" s="2" t="s">
        <v>83</v>
      </c>
      <c r="M298">
        <f t="shared" si="30"/>
        <v>13084</v>
      </c>
      <c r="N298">
        <f t="shared" si="29"/>
        <v>12308.171060072784</v>
      </c>
      <c r="O298">
        <f t="shared" si="26"/>
        <v>686</v>
      </c>
      <c r="P298" s="6">
        <f t="shared" si="27"/>
        <v>5.1259060001494432E-2</v>
      </c>
      <c r="Q298" s="6">
        <f t="shared" si="28"/>
        <v>8.0313004552582848E-2</v>
      </c>
    </row>
    <row r="299" spans="1:17" x14ac:dyDescent="0.25">
      <c r="A299" s="3">
        <v>298</v>
      </c>
      <c r="B299" s="3" t="s">
        <v>30</v>
      </c>
      <c r="C299" s="3" t="s">
        <v>31</v>
      </c>
      <c r="D299" s="3" t="s">
        <v>74</v>
      </c>
      <c r="E299" s="3">
        <v>10</v>
      </c>
      <c r="F299" s="3">
        <v>2023</v>
      </c>
      <c r="G299" s="9" t="s">
        <v>87</v>
      </c>
      <c r="H299" s="3">
        <v>12074</v>
      </c>
      <c r="I299" s="3">
        <v>11326</v>
      </c>
      <c r="J299" s="3">
        <v>748</v>
      </c>
      <c r="K299" s="3">
        <v>6.2</v>
      </c>
      <c r="L299" s="3" t="s">
        <v>83</v>
      </c>
      <c r="M299">
        <f t="shared" si="30"/>
        <v>13186</v>
      </c>
      <c r="N299">
        <f t="shared" si="29"/>
        <v>12630.619742050947</v>
      </c>
      <c r="O299">
        <f t="shared" si="26"/>
        <v>748</v>
      </c>
      <c r="P299" s="6">
        <f t="shared" si="27"/>
        <v>6.1951300314725857E-2</v>
      </c>
      <c r="Q299" s="6">
        <f t="shared" si="28"/>
        <v>4.6100690910298746E-2</v>
      </c>
    </row>
    <row r="300" spans="1:17" x14ac:dyDescent="0.25">
      <c r="A300" s="2">
        <v>299</v>
      </c>
      <c r="B300" s="2" t="s">
        <v>30</v>
      </c>
      <c r="C300" s="2" t="s">
        <v>31</v>
      </c>
      <c r="D300" s="2" t="s">
        <v>74</v>
      </c>
      <c r="E300" s="2">
        <v>11</v>
      </c>
      <c r="F300" s="2">
        <v>2023</v>
      </c>
      <c r="G300" s="8" t="s">
        <v>88</v>
      </c>
      <c r="H300" s="2">
        <v>15029</v>
      </c>
      <c r="I300" s="2">
        <v>16169</v>
      </c>
      <c r="J300" s="2">
        <v>-1140</v>
      </c>
      <c r="K300" s="2">
        <v>7.6</v>
      </c>
      <c r="L300" s="2" t="s">
        <v>78</v>
      </c>
      <c r="M300">
        <f t="shared" si="30"/>
        <v>12892.666666666666</v>
      </c>
      <c r="N300">
        <f t="shared" si="29"/>
        <v>12463.633819435661</v>
      </c>
      <c r="O300">
        <f t="shared" si="26"/>
        <v>1140</v>
      </c>
      <c r="P300" s="6">
        <f t="shared" si="27"/>
        <v>7.5853350189633378E-2</v>
      </c>
      <c r="Q300" s="6">
        <f t="shared" si="28"/>
        <v>0.17069440285876231</v>
      </c>
    </row>
    <row r="301" spans="1:17" x14ac:dyDescent="0.25">
      <c r="A301" s="3">
        <v>300</v>
      </c>
      <c r="B301" s="3" t="s">
        <v>30</v>
      </c>
      <c r="C301" s="3" t="s">
        <v>31</v>
      </c>
      <c r="D301" s="3" t="s">
        <v>74</v>
      </c>
      <c r="E301" s="3">
        <v>12</v>
      </c>
      <c r="F301" s="3">
        <v>2023</v>
      </c>
      <c r="G301" s="9" t="s">
        <v>89</v>
      </c>
      <c r="H301" s="3">
        <v>14762</v>
      </c>
      <c r="I301" s="3">
        <v>15618</v>
      </c>
      <c r="J301" s="3">
        <v>-856</v>
      </c>
      <c r="K301" s="3">
        <v>5.8</v>
      </c>
      <c r="L301" s="3" t="s">
        <v>76</v>
      </c>
      <c r="M301">
        <f t="shared" si="30"/>
        <v>13495.333333333334</v>
      </c>
      <c r="N301">
        <f t="shared" si="29"/>
        <v>13233.24367360496</v>
      </c>
      <c r="O301">
        <f t="shared" si="26"/>
        <v>856</v>
      </c>
      <c r="P301" s="6">
        <f t="shared" si="27"/>
        <v>5.7986722666305376E-2</v>
      </c>
      <c r="Q301" s="6">
        <f t="shared" si="28"/>
        <v>0.10356024430260397</v>
      </c>
    </row>
    <row r="302" spans="1:17" x14ac:dyDescent="0.25">
      <c r="A302" s="2">
        <v>301</v>
      </c>
      <c r="B302" s="2" t="s">
        <v>30</v>
      </c>
      <c r="C302" s="2" t="s">
        <v>31</v>
      </c>
      <c r="D302" s="2" t="s">
        <v>74</v>
      </c>
      <c r="E302" s="2">
        <v>1</v>
      </c>
      <c r="F302" s="2">
        <v>2024</v>
      </c>
      <c r="G302" s="8" t="s">
        <v>90</v>
      </c>
      <c r="H302" s="2">
        <v>9808</v>
      </c>
      <c r="I302" s="2">
        <v>10372</v>
      </c>
      <c r="J302" s="2">
        <v>-564</v>
      </c>
      <c r="K302" s="2">
        <v>5.8</v>
      </c>
      <c r="L302" s="2" t="s">
        <v>76</v>
      </c>
      <c r="M302">
        <f t="shared" si="30"/>
        <v>13955</v>
      </c>
      <c r="N302">
        <f t="shared" si="29"/>
        <v>13691.870571523472</v>
      </c>
      <c r="O302">
        <f t="shared" si="26"/>
        <v>564</v>
      </c>
      <c r="P302" s="6">
        <f t="shared" si="27"/>
        <v>5.7504078303425778E-2</v>
      </c>
      <c r="Q302" s="6">
        <f t="shared" si="28"/>
        <v>0.39599006642776019</v>
      </c>
    </row>
    <row r="303" spans="1:17" x14ac:dyDescent="0.25">
      <c r="A303" s="3">
        <v>302</v>
      </c>
      <c r="B303" s="3" t="s">
        <v>30</v>
      </c>
      <c r="C303" s="3" t="s">
        <v>31</v>
      </c>
      <c r="D303" s="3" t="s">
        <v>74</v>
      </c>
      <c r="E303" s="3">
        <v>2</v>
      </c>
      <c r="F303" s="3">
        <v>2024</v>
      </c>
      <c r="G303" s="9" t="s">
        <v>91</v>
      </c>
      <c r="H303" s="3">
        <v>10597</v>
      </c>
      <c r="I303" s="3">
        <v>10136</v>
      </c>
      <c r="J303" s="3">
        <v>461</v>
      </c>
      <c r="K303" s="3">
        <v>4.4000000000000004</v>
      </c>
      <c r="L303" s="3" t="s">
        <v>76</v>
      </c>
      <c r="M303">
        <f t="shared" si="30"/>
        <v>13199.666666666666</v>
      </c>
      <c r="N303">
        <f t="shared" si="29"/>
        <v>12526.709400066429</v>
      </c>
      <c r="O303">
        <f t="shared" si="26"/>
        <v>461</v>
      </c>
      <c r="P303" s="6">
        <f t="shared" si="27"/>
        <v>4.3502878173067847E-2</v>
      </c>
      <c r="Q303" s="6">
        <f t="shared" si="28"/>
        <v>0.18209959423104929</v>
      </c>
    </row>
    <row r="304" spans="1:17" x14ac:dyDescent="0.25">
      <c r="A304" s="2">
        <v>303</v>
      </c>
      <c r="B304" s="2" t="s">
        <v>30</v>
      </c>
      <c r="C304" s="2" t="s">
        <v>31</v>
      </c>
      <c r="D304" s="2" t="s">
        <v>74</v>
      </c>
      <c r="E304" s="2">
        <v>3</v>
      </c>
      <c r="F304" s="2">
        <v>2024</v>
      </c>
      <c r="G304" s="8" t="s">
        <v>92</v>
      </c>
      <c r="H304" s="2">
        <v>12323</v>
      </c>
      <c r="I304" s="2">
        <v>12519</v>
      </c>
      <c r="J304" s="2">
        <v>-196</v>
      </c>
      <c r="K304" s="2">
        <v>1.6</v>
      </c>
      <c r="L304" s="2" t="s">
        <v>83</v>
      </c>
      <c r="M304">
        <f t="shared" si="30"/>
        <v>11722.333333333334</v>
      </c>
      <c r="N304">
        <f t="shared" si="29"/>
        <v>11947.796580046501</v>
      </c>
      <c r="O304">
        <f t="shared" si="26"/>
        <v>196</v>
      </c>
      <c r="P304" s="6">
        <f t="shared" si="27"/>
        <v>1.5905217885255212E-2</v>
      </c>
      <c r="Q304" s="6">
        <f t="shared" si="28"/>
        <v>3.0447408906394479E-2</v>
      </c>
    </row>
    <row r="305" spans="1:17" x14ac:dyDescent="0.25">
      <c r="A305" s="3">
        <v>304</v>
      </c>
      <c r="B305" s="3" t="s">
        <v>30</v>
      </c>
      <c r="C305" s="3" t="s">
        <v>31</v>
      </c>
      <c r="D305" s="3" t="s">
        <v>74</v>
      </c>
      <c r="E305" s="3">
        <v>4</v>
      </c>
      <c r="F305" s="3">
        <v>2024</v>
      </c>
      <c r="G305" s="9" t="s">
        <v>93</v>
      </c>
      <c r="H305" s="3">
        <v>11970</v>
      </c>
      <c r="I305" s="3">
        <v>11128</v>
      </c>
      <c r="J305" s="3">
        <v>842</v>
      </c>
      <c r="K305" s="3">
        <v>7</v>
      </c>
      <c r="L305" s="3" t="s">
        <v>83</v>
      </c>
      <c r="M305">
        <f t="shared" si="30"/>
        <v>10909.333333333334</v>
      </c>
      <c r="N305">
        <f t="shared" si="29"/>
        <v>12060.35760603255</v>
      </c>
      <c r="O305">
        <f t="shared" si="26"/>
        <v>842</v>
      </c>
      <c r="P305" s="6">
        <f t="shared" si="27"/>
        <v>7.0342522974101915E-2</v>
      </c>
      <c r="Q305" s="6">
        <f t="shared" si="28"/>
        <v>7.548672183170459E-3</v>
      </c>
    </row>
    <row r="306" spans="1:17" x14ac:dyDescent="0.25">
      <c r="A306" s="2">
        <v>305</v>
      </c>
      <c r="B306" s="2" t="s">
        <v>30</v>
      </c>
      <c r="C306" s="2" t="s">
        <v>31</v>
      </c>
      <c r="D306" s="2" t="s">
        <v>74</v>
      </c>
      <c r="E306" s="2">
        <v>5</v>
      </c>
      <c r="F306" s="2">
        <v>2024</v>
      </c>
      <c r="G306" s="8" t="s">
        <v>94</v>
      </c>
      <c r="H306" s="2">
        <v>12552</v>
      </c>
      <c r="I306" s="2">
        <v>12131</v>
      </c>
      <c r="J306" s="2">
        <v>421</v>
      </c>
      <c r="K306" s="2">
        <v>3.4</v>
      </c>
      <c r="L306" s="2" t="s">
        <v>83</v>
      </c>
      <c r="M306">
        <f t="shared" si="30"/>
        <v>11630</v>
      </c>
      <c r="N306">
        <f t="shared" si="29"/>
        <v>12033.250324222785</v>
      </c>
      <c r="O306">
        <f t="shared" si="26"/>
        <v>421</v>
      </c>
      <c r="P306" s="6">
        <f t="shared" si="27"/>
        <v>3.3540471637985979E-2</v>
      </c>
      <c r="Q306" s="6">
        <f t="shared" si="28"/>
        <v>4.1328049376769843E-2</v>
      </c>
    </row>
    <row r="307" spans="1:17" x14ac:dyDescent="0.25">
      <c r="A307" s="3">
        <v>306</v>
      </c>
      <c r="B307" s="3" t="s">
        <v>30</v>
      </c>
      <c r="C307" s="3" t="s">
        <v>31</v>
      </c>
      <c r="D307" s="3" t="s">
        <v>74</v>
      </c>
      <c r="E307" s="3">
        <v>6</v>
      </c>
      <c r="F307" s="3">
        <v>2024</v>
      </c>
      <c r="G307" s="9" t="s">
        <v>95</v>
      </c>
      <c r="H307" s="3">
        <v>12811</v>
      </c>
      <c r="I307" s="3">
        <v>13920</v>
      </c>
      <c r="J307" s="3">
        <v>-1109</v>
      </c>
      <c r="K307" s="3">
        <v>8.6999999999999993</v>
      </c>
      <c r="L307" s="3" t="s">
        <v>78</v>
      </c>
      <c r="M307">
        <f t="shared" si="30"/>
        <v>12281.666666666666</v>
      </c>
      <c r="N307">
        <f t="shared" si="29"/>
        <v>12188.87522695595</v>
      </c>
      <c r="O307">
        <f t="shared" si="26"/>
        <v>1109</v>
      </c>
      <c r="P307" s="6">
        <f t="shared" si="27"/>
        <v>8.6566232144251035E-2</v>
      </c>
      <c r="Q307" s="6">
        <f t="shared" si="28"/>
        <v>4.8561765127160254E-2</v>
      </c>
    </row>
    <row r="308" spans="1:17" x14ac:dyDescent="0.25">
      <c r="A308" s="2">
        <v>307</v>
      </c>
      <c r="B308" s="2" t="s">
        <v>30</v>
      </c>
      <c r="C308" s="2" t="s">
        <v>31</v>
      </c>
      <c r="D308" s="2" t="s">
        <v>74</v>
      </c>
      <c r="E308" s="2">
        <v>7</v>
      </c>
      <c r="F308" s="2">
        <v>2024</v>
      </c>
      <c r="G308" s="8" t="s">
        <v>96</v>
      </c>
      <c r="H308" s="2">
        <v>14455</v>
      </c>
      <c r="I308" s="2">
        <v>13699</v>
      </c>
      <c r="J308" s="2">
        <v>756</v>
      </c>
      <c r="K308" s="2">
        <v>5.2</v>
      </c>
      <c r="L308" s="2" t="s">
        <v>76</v>
      </c>
      <c r="M308">
        <f t="shared" si="30"/>
        <v>12444.333333333334</v>
      </c>
      <c r="N308">
        <f t="shared" si="29"/>
        <v>12375.512658869164</v>
      </c>
      <c r="O308">
        <f t="shared" si="26"/>
        <v>756</v>
      </c>
      <c r="P308" s="6">
        <f t="shared" si="27"/>
        <v>5.2300242130750609E-2</v>
      </c>
      <c r="Q308" s="6">
        <f t="shared" si="28"/>
        <v>0.14385938022350994</v>
      </c>
    </row>
    <row r="309" spans="1:17" x14ac:dyDescent="0.25">
      <c r="A309" s="3">
        <v>308</v>
      </c>
      <c r="B309" s="3" t="s">
        <v>30</v>
      </c>
      <c r="C309" s="3" t="s">
        <v>31</v>
      </c>
      <c r="D309" s="3" t="s">
        <v>74</v>
      </c>
      <c r="E309" s="3">
        <v>8</v>
      </c>
      <c r="F309" s="3">
        <v>2024</v>
      </c>
      <c r="G309" s="9" t="s">
        <v>97</v>
      </c>
      <c r="H309" s="3">
        <v>11794</v>
      </c>
      <c r="I309" s="3">
        <v>12443</v>
      </c>
      <c r="J309" s="3">
        <v>-649</v>
      </c>
      <c r="K309" s="3">
        <v>5.5</v>
      </c>
      <c r="L309" s="3" t="s">
        <v>78</v>
      </c>
      <c r="M309">
        <f t="shared" si="30"/>
        <v>13272.666666666666</v>
      </c>
      <c r="N309">
        <f t="shared" si="29"/>
        <v>12999.358861208413</v>
      </c>
      <c r="O309">
        <f t="shared" si="26"/>
        <v>649</v>
      </c>
      <c r="P309" s="6">
        <f t="shared" si="27"/>
        <v>5.502798032898084E-2</v>
      </c>
      <c r="Q309" s="6">
        <f t="shared" si="28"/>
        <v>0.10220102265630093</v>
      </c>
    </row>
    <row r="310" spans="1:17" x14ac:dyDescent="0.25">
      <c r="A310" s="2">
        <v>309</v>
      </c>
      <c r="B310" s="2" t="s">
        <v>30</v>
      </c>
      <c r="C310" s="2" t="s">
        <v>31</v>
      </c>
      <c r="D310" s="2" t="s">
        <v>74</v>
      </c>
      <c r="E310" s="2">
        <v>9</v>
      </c>
      <c r="F310" s="2">
        <v>2024</v>
      </c>
      <c r="G310" s="8" t="s">
        <v>98</v>
      </c>
      <c r="H310" s="2">
        <v>11476</v>
      </c>
      <c r="I310" s="2">
        <v>11413</v>
      </c>
      <c r="J310" s="2">
        <v>63</v>
      </c>
      <c r="K310" s="2">
        <v>0.5</v>
      </c>
      <c r="L310" s="2" t="s">
        <v>76</v>
      </c>
      <c r="M310">
        <f t="shared" si="30"/>
        <v>13020</v>
      </c>
      <c r="N310">
        <f t="shared" si="29"/>
        <v>12637.751202845888</v>
      </c>
      <c r="O310">
        <f t="shared" si="26"/>
        <v>63</v>
      </c>
      <c r="P310" s="6">
        <f t="shared" si="27"/>
        <v>5.4897176716626004E-3</v>
      </c>
      <c r="Q310" s="6">
        <f t="shared" si="28"/>
        <v>0.1012331128307675</v>
      </c>
    </row>
    <row r="311" spans="1:17" x14ac:dyDescent="0.25">
      <c r="A311" s="3">
        <v>310</v>
      </c>
      <c r="B311" s="3" t="s">
        <v>30</v>
      </c>
      <c r="C311" s="3" t="s">
        <v>31</v>
      </c>
      <c r="D311" s="3" t="s">
        <v>74</v>
      </c>
      <c r="E311" s="3">
        <v>10</v>
      </c>
      <c r="F311" s="3">
        <v>2024</v>
      </c>
      <c r="G311" s="9" t="s">
        <v>99</v>
      </c>
      <c r="H311" s="3">
        <v>12839</v>
      </c>
      <c r="I311" s="3">
        <v>13259</v>
      </c>
      <c r="J311" s="3">
        <v>-420</v>
      </c>
      <c r="K311" s="3">
        <v>3.3</v>
      </c>
      <c r="L311" s="3" t="s">
        <v>83</v>
      </c>
      <c r="M311">
        <f t="shared" si="30"/>
        <v>12575</v>
      </c>
      <c r="N311">
        <f t="shared" si="29"/>
        <v>12289.22584199212</v>
      </c>
      <c r="O311">
        <f t="shared" si="26"/>
        <v>420</v>
      </c>
      <c r="P311" s="6">
        <f t="shared" si="27"/>
        <v>3.2712828101877096E-2</v>
      </c>
      <c r="Q311" s="6">
        <f t="shared" si="28"/>
        <v>4.2820636966109514E-2</v>
      </c>
    </row>
    <row r="312" spans="1:17" x14ac:dyDescent="0.25">
      <c r="A312" s="2">
        <v>311</v>
      </c>
      <c r="B312" s="2" t="s">
        <v>30</v>
      </c>
      <c r="C312" s="2" t="s">
        <v>31</v>
      </c>
      <c r="D312" s="2" t="s">
        <v>74</v>
      </c>
      <c r="E312" s="2">
        <v>11</v>
      </c>
      <c r="F312" s="2">
        <v>2024</v>
      </c>
      <c r="G312" s="8" t="s">
        <v>100</v>
      </c>
      <c r="H312" s="2">
        <v>16730</v>
      </c>
      <c r="I312" s="2">
        <v>16714</v>
      </c>
      <c r="J312" s="2">
        <v>16</v>
      </c>
      <c r="K312" s="2">
        <v>0.1</v>
      </c>
      <c r="L312" s="2" t="s">
        <v>78</v>
      </c>
      <c r="M312">
        <f t="shared" si="30"/>
        <v>12036.333333333334</v>
      </c>
      <c r="N312">
        <f t="shared" si="29"/>
        <v>12454.158089394485</v>
      </c>
      <c r="O312">
        <f t="shared" si="26"/>
        <v>16</v>
      </c>
      <c r="P312" s="6">
        <f t="shared" si="27"/>
        <v>9.5636580992229528E-4</v>
      </c>
      <c r="Q312" s="6">
        <f t="shared" si="28"/>
        <v>0.25557931324599614</v>
      </c>
    </row>
    <row r="313" spans="1:17" x14ac:dyDescent="0.25">
      <c r="A313" s="3">
        <v>312</v>
      </c>
      <c r="B313" s="3" t="s">
        <v>30</v>
      </c>
      <c r="C313" s="3" t="s">
        <v>31</v>
      </c>
      <c r="D313" s="3" t="s">
        <v>74</v>
      </c>
      <c r="E313" s="3">
        <v>12</v>
      </c>
      <c r="F313" s="3">
        <v>2024</v>
      </c>
      <c r="G313" s="9" t="s">
        <v>101</v>
      </c>
      <c r="H313" s="3">
        <v>14200</v>
      </c>
      <c r="I313" s="3">
        <v>15521</v>
      </c>
      <c r="J313" s="3">
        <v>-1321</v>
      </c>
      <c r="K313" s="3">
        <v>9.3000000000000007</v>
      </c>
      <c r="L313" s="3" t="s">
        <v>76</v>
      </c>
      <c r="M313">
        <f t="shared" si="30"/>
        <v>13681.666666666666</v>
      </c>
      <c r="N313">
        <f t="shared" si="29"/>
        <v>13736.910662576138</v>
      </c>
      <c r="O313">
        <f t="shared" si="26"/>
        <v>1321</v>
      </c>
      <c r="P313" s="6">
        <f t="shared" si="27"/>
        <v>9.3028169014084505E-2</v>
      </c>
      <c r="Q313" s="6">
        <f t="shared" si="28"/>
        <v>3.2611925170694521E-2</v>
      </c>
    </row>
    <row r="314" spans="1:17" x14ac:dyDescent="0.25">
      <c r="A314" s="2">
        <v>313</v>
      </c>
      <c r="B314" s="2" t="s">
        <v>30</v>
      </c>
      <c r="C314" s="2" t="s">
        <v>31</v>
      </c>
      <c r="D314" s="2" t="s">
        <v>102</v>
      </c>
      <c r="E314" s="2">
        <v>1</v>
      </c>
      <c r="F314" s="2">
        <v>2023</v>
      </c>
      <c r="G314" s="8" t="s">
        <v>75</v>
      </c>
      <c r="H314" s="2">
        <v>9439</v>
      </c>
      <c r="I314" s="2">
        <v>10145</v>
      </c>
      <c r="J314" s="2">
        <v>-706</v>
      </c>
      <c r="K314" s="2">
        <v>7.5</v>
      </c>
      <c r="L314" s="2" t="s">
        <v>76</v>
      </c>
      <c r="M314">
        <f t="shared" si="30"/>
        <v>14589.666666666666</v>
      </c>
      <c r="N314">
        <f t="shared" si="29"/>
        <v>13875.837463803296</v>
      </c>
      <c r="O314">
        <f t="shared" si="26"/>
        <v>706</v>
      </c>
      <c r="P314" s="6">
        <f t="shared" si="27"/>
        <v>7.4796058904544979E-2</v>
      </c>
      <c r="Q314" s="6">
        <f t="shared" si="28"/>
        <v>0.47005376245399899</v>
      </c>
    </row>
    <row r="315" spans="1:17" x14ac:dyDescent="0.25">
      <c r="A315" s="3">
        <v>314</v>
      </c>
      <c r="B315" s="3" t="s">
        <v>30</v>
      </c>
      <c r="C315" s="3" t="s">
        <v>31</v>
      </c>
      <c r="D315" s="3" t="s">
        <v>102</v>
      </c>
      <c r="E315" s="3">
        <v>2</v>
      </c>
      <c r="F315" s="3">
        <v>2023</v>
      </c>
      <c r="G315" s="9" t="s">
        <v>77</v>
      </c>
      <c r="H315" s="3">
        <v>7560</v>
      </c>
      <c r="I315" s="3">
        <v>8180</v>
      </c>
      <c r="J315" s="3">
        <v>-620</v>
      </c>
      <c r="K315" s="3">
        <v>8.1999999999999993</v>
      </c>
      <c r="L315" s="3" t="s">
        <v>78</v>
      </c>
      <c r="M315">
        <f t="shared" si="30"/>
        <v>13456.333333333334</v>
      </c>
      <c r="N315">
        <f t="shared" si="29"/>
        <v>12544.786224662308</v>
      </c>
      <c r="O315">
        <f t="shared" si="26"/>
        <v>620</v>
      </c>
      <c r="P315" s="6">
        <f t="shared" si="27"/>
        <v>8.2010582010582006E-2</v>
      </c>
      <c r="Q315" s="6">
        <f t="shared" si="28"/>
        <v>0.65936325723046407</v>
      </c>
    </row>
    <row r="316" spans="1:17" x14ac:dyDescent="0.25">
      <c r="A316" s="2">
        <v>315</v>
      </c>
      <c r="B316" s="2" t="s">
        <v>30</v>
      </c>
      <c r="C316" s="2" t="s">
        <v>31</v>
      </c>
      <c r="D316" s="2" t="s">
        <v>102</v>
      </c>
      <c r="E316" s="2">
        <v>3</v>
      </c>
      <c r="F316" s="2">
        <v>2023</v>
      </c>
      <c r="G316" s="8" t="s">
        <v>79</v>
      </c>
      <c r="H316" s="2">
        <v>10207</v>
      </c>
      <c r="I316" s="2">
        <v>10023</v>
      </c>
      <c r="J316" s="2">
        <v>184</v>
      </c>
      <c r="K316" s="2">
        <v>1.8</v>
      </c>
      <c r="L316" s="2" t="s">
        <v>83</v>
      </c>
      <c r="M316">
        <f t="shared" si="30"/>
        <v>10399.666666666666</v>
      </c>
      <c r="N316">
        <f t="shared" si="29"/>
        <v>11049.350357263615</v>
      </c>
      <c r="O316">
        <f t="shared" si="26"/>
        <v>184</v>
      </c>
      <c r="P316" s="6">
        <f t="shared" si="27"/>
        <v>1.8026844322523758E-2</v>
      </c>
      <c r="Q316" s="6">
        <f t="shared" si="28"/>
        <v>8.2526732366377448E-2</v>
      </c>
    </row>
    <row r="317" spans="1:17" x14ac:dyDescent="0.25">
      <c r="A317" s="3">
        <v>316</v>
      </c>
      <c r="B317" s="3" t="s">
        <v>30</v>
      </c>
      <c r="C317" s="3" t="s">
        <v>31</v>
      </c>
      <c r="D317" s="3" t="s">
        <v>102</v>
      </c>
      <c r="E317" s="3">
        <v>4</v>
      </c>
      <c r="F317" s="3">
        <v>2023</v>
      </c>
      <c r="G317" s="9" t="s">
        <v>80</v>
      </c>
      <c r="H317" s="3">
        <v>11350</v>
      </c>
      <c r="I317" s="3">
        <v>10384</v>
      </c>
      <c r="J317" s="3">
        <v>966</v>
      </c>
      <c r="K317" s="3">
        <v>8.5</v>
      </c>
      <c r="L317" s="3" t="s">
        <v>76</v>
      </c>
      <c r="M317">
        <f t="shared" si="30"/>
        <v>9068.6666666666661</v>
      </c>
      <c r="N317">
        <f t="shared" si="29"/>
        <v>10796.64525008453</v>
      </c>
      <c r="O317">
        <f t="shared" si="26"/>
        <v>966</v>
      </c>
      <c r="P317" s="6">
        <f t="shared" si="27"/>
        <v>8.5110132158590313E-2</v>
      </c>
      <c r="Q317" s="6">
        <f t="shared" si="28"/>
        <v>4.8753722459512788E-2</v>
      </c>
    </row>
    <row r="318" spans="1:17" x14ac:dyDescent="0.25">
      <c r="A318" s="2">
        <v>317</v>
      </c>
      <c r="B318" s="2" t="s">
        <v>30</v>
      </c>
      <c r="C318" s="2" t="s">
        <v>31</v>
      </c>
      <c r="D318" s="2" t="s">
        <v>102</v>
      </c>
      <c r="E318" s="2">
        <v>5</v>
      </c>
      <c r="F318" s="2">
        <v>2023</v>
      </c>
      <c r="G318" s="8" t="s">
        <v>81</v>
      </c>
      <c r="H318" s="2">
        <v>10295</v>
      </c>
      <c r="I318" s="2">
        <v>10691</v>
      </c>
      <c r="J318" s="2">
        <v>-396</v>
      </c>
      <c r="K318" s="2">
        <v>3.8</v>
      </c>
      <c r="L318" s="2" t="s">
        <v>83</v>
      </c>
      <c r="M318">
        <f t="shared" si="30"/>
        <v>9705.6666666666661</v>
      </c>
      <c r="N318">
        <f t="shared" si="29"/>
        <v>10962.651675059169</v>
      </c>
      <c r="O318">
        <f t="shared" si="26"/>
        <v>396</v>
      </c>
      <c r="P318" s="6">
        <f t="shared" si="27"/>
        <v>3.8465274405050993E-2</v>
      </c>
      <c r="Q318" s="6">
        <f t="shared" si="28"/>
        <v>6.4852032545815355E-2</v>
      </c>
    </row>
    <row r="319" spans="1:17" x14ac:dyDescent="0.25">
      <c r="A319" s="3">
        <v>318</v>
      </c>
      <c r="B319" s="3" t="s">
        <v>30</v>
      </c>
      <c r="C319" s="3" t="s">
        <v>31</v>
      </c>
      <c r="D319" s="3" t="s">
        <v>102</v>
      </c>
      <c r="E319" s="3">
        <v>6</v>
      </c>
      <c r="F319" s="3">
        <v>2023</v>
      </c>
      <c r="G319" s="9" t="s">
        <v>82</v>
      </c>
      <c r="H319" s="3">
        <v>10089</v>
      </c>
      <c r="I319" s="3">
        <v>9743</v>
      </c>
      <c r="J319" s="3">
        <v>346</v>
      </c>
      <c r="K319" s="3">
        <v>3.4</v>
      </c>
      <c r="L319" s="3" t="s">
        <v>83</v>
      </c>
      <c r="M319">
        <f t="shared" si="30"/>
        <v>10617.333333333334</v>
      </c>
      <c r="N319">
        <f t="shared" si="29"/>
        <v>10762.356172541418</v>
      </c>
      <c r="O319">
        <f t="shared" si="26"/>
        <v>346</v>
      </c>
      <c r="P319" s="6">
        <f t="shared" si="27"/>
        <v>3.4294776489245712E-2</v>
      </c>
      <c r="Q319" s="6">
        <f t="shared" si="28"/>
        <v>6.6741616864051778E-2</v>
      </c>
    </row>
    <row r="320" spans="1:17" x14ac:dyDescent="0.25">
      <c r="A320" s="2">
        <v>319</v>
      </c>
      <c r="B320" s="2" t="s">
        <v>30</v>
      </c>
      <c r="C320" s="2" t="s">
        <v>31</v>
      </c>
      <c r="D320" s="2" t="s">
        <v>102</v>
      </c>
      <c r="E320" s="2">
        <v>7</v>
      </c>
      <c r="F320" s="2">
        <v>2023</v>
      </c>
      <c r="G320" s="8" t="s">
        <v>84</v>
      </c>
      <c r="H320" s="2">
        <v>11966</v>
      </c>
      <c r="I320" s="2">
        <v>11678</v>
      </c>
      <c r="J320" s="2">
        <v>288</v>
      </c>
      <c r="K320" s="2">
        <v>2.4</v>
      </c>
      <c r="L320" s="2" t="s">
        <v>76</v>
      </c>
      <c r="M320">
        <f t="shared" si="30"/>
        <v>10578</v>
      </c>
      <c r="N320">
        <f t="shared" si="29"/>
        <v>10560.349320778992</v>
      </c>
      <c r="O320">
        <f t="shared" si="26"/>
        <v>288</v>
      </c>
      <c r="P320" s="6">
        <f t="shared" si="27"/>
        <v>2.4068193214106637E-2</v>
      </c>
      <c r="Q320" s="6">
        <f t="shared" si="28"/>
        <v>0.11747038937163694</v>
      </c>
    </row>
    <row r="321" spans="1:17" x14ac:dyDescent="0.25">
      <c r="A321" s="3">
        <v>320</v>
      </c>
      <c r="B321" s="3" t="s">
        <v>30</v>
      </c>
      <c r="C321" s="3" t="s">
        <v>31</v>
      </c>
      <c r="D321" s="3" t="s">
        <v>102</v>
      </c>
      <c r="E321" s="3">
        <v>8</v>
      </c>
      <c r="F321" s="3">
        <v>2023</v>
      </c>
      <c r="G321" s="9" t="s">
        <v>85</v>
      </c>
      <c r="H321" s="3">
        <v>11035</v>
      </c>
      <c r="I321" s="3">
        <v>11890</v>
      </c>
      <c r="J321" s="3">
        <v>-855</v>
      </c>
      <c r="K321" s="3">
        <v>7.7</v>
      </c>
      <c r="L321" s="3" t="s">
        <v>76</v>
      </c>
      <c r="M321">
        <f t="shared" si="30"/>
        <v>10783.333333333334</v>
      </c>
      <c r="N321">
        <f t="shared" si="29"/>
        <v>10982.044524545294</v>
      </c>
      <c r="O321">
        <f t="shared" si="26"/>
        <v>855</v>
      </c>
      <c r="P321" s="6">
        <f t="shared" si="27"/>
        <v>7.7480743090167642E-2</v>
      </c>
      <c r="Q321" s="6">
        <f t="shared" si="28"/>
        <v>4.7988650162851089E-3</v>
      </c>
    </row>
    <row r="322" spans="1:17" x14ac:dyDescent="0.25">
      <c r="A322" s="2">
        <v>321</v>
      </c>
      <c r="B322" s="2" t="s">
        <v>30</v>
      </c>
      <c r="C322" s="2" t="s">
        <v>31</v>
      </c>
      <c r="D322" s="2" t="s">
        <v>102</v>
      </c>
      <c r="E322" s="2">
        <v>9</v>
      </c>
      <c r="F322" s="2">
        <v>2023</v>
      </c>
      <c r="G322" s="8" t="s">
        <v>86</v>
      </c>
      <c r="H322" s="2">
        <v>11111</v>
      </c>
      <c r="I322" s="2">
        <v>10079</v>
      </c>
      <c r="J322" s="2">
        <v>1032</v>
      </c>
      <c r="K322" s="2">
        <v>9.3000000000000007</v>
      </c>
      <c r="L322" s="2" t="s">
        <v>78</v>
      </c>
      <c r="M322">
        <f t="shared" si="30"/>
        <v>11030</v>
      </c>
      <c r="N322">
        <f t="shared" si="29"/>
        <v>10997.931167181705</v>
      </c>
      <c r="O322">
        <f t="shared" si="26"/>
        <v>1032</v>
      </c>
      <c r="P322" s="6">
        <f t="shared" si="27"/>
        <v>9.2880928809288096E-2</v>
      </c>
      <c r="Q322" s="6">
        <f t="shared" si="28"/>
        <v>1.0176296716613721E-2</v>
      </c>
    </row>
    <row r="323" spans="1:17" x14ac:dyDescent="0.25">
      <c r="A323" s="3">
        <v>322</v>
      </c>
      <c r="B323" s="3" t="s">
        <v>30</v>
      </c>
      <c r="C323" s="3" t="s">
        <v>31</v>
      </c>
      <c r="D323" s="3" t="s">
        <v>102</v>
      </c>
      <c r="E323" s="3">
        <v>10</v>
      </c>
      <c r="F323" s="3">
        <v>2023</v>
      </c>
      <c r="G323" s="9" t="s">
        <v>87</v>
      </c>
      <c r="H323" s="3">
        <v>10505</v>
      </c>
      <c r="I323" s="3">
        <v>10892</v>
      </c>
      <c r="J323" s="3">
        <v>-387</v>
      </c>
      <c r="K323" s="3">
        <v>3.7</v>
      </c>
      <c r="L323" s="3" t="s">
        <v>76</v>
      </c>
      <c r="M323">
        <f t="shared" si="30"/>
        <v>11370.666666666666</v>
      </c>
      <c r="N323">
        <f t="shared" si="29"/>
        <v>11031.851817027193</v>
      </c>
      <c r="O323">
        <f t="shared" ref="O323:O386" si="31">ABS(H323-I323)</f>
        <v>387</v>
      </c>
      <c r="P323" s="6">
        <f t="shared" ref="P323:P386" si="32">ABS(O323)/H323</f>
        <v>3.6839600190385534E-2</v>
      </c>
      <c r="Q323" s="6">
        <f t="shared" ref="Q323:Q386" si="33">ABS((H323-N323))/H323</f>
        <v>5.0152481392402928E-2</v>
      </c>
    </row>
    <row r="324" spans="1:17" x14ac:dyDescent="0.25">
      <c r="A324" s="2">
        <v>323</v>
      </c>
      <c r="B324" s="2" t="s">
        <v>30</v>
      </c>
      <c r="C324" s="2" t="s">
        <v>31</v>
      </c>
      <c r="D324" s="2" t="s">
        <v>102</v>
      </c>
      <c r="E324" s="2">
        <v>11</v>
      </c>
      <c r="F324" s="2">
        <v>2023</v>
      </c>
      <c r="G324" s="8" t="s">
        <v>88</v>
      </c>
      <c r="H324" s="2">
        <v>14272</v>
      </c>
      <c r="I324" s="2">
        <v>14976</v>
      </c>
      <c r="J324" s="2">
        <v>-704</v>
      </c>
      <c r="K324" s="2">
        <v>4.9000000000000004</v>
      </c>
      <c r="L324" s="2" t="s">
        <v>76</v>
      </c>
      <c r="M324">
        <f t="shared" si="30"/>
        <v>10883.666666666666</v>
      </c>
      <c r="N324">
        <f t="shared" ref="N324:N387" si="34">0.3*H323+(0.7*N323)</f>
        <v>10873.796271919035</v>
      </c>
      <c r="O324">
        <f t="shared" si="31"/>
        <v>704</v>
      </c>
      <c r="P324" s="6">
        <f t="shared" si="32"/>
        <v>4.9327354260089683E-2</v>
      </c>
      <c r="Q324" s="6">
        <f t="shared" si="33"/>
        <v>0.23810283969177168</v>
      </c>
    </row>
    <row r="325" spans="1:17" x14ac:dyDescent="0.25">
      <c r="A325" s="3">
        <v>324</v>
      </c>
      <c r="B325" s="3" t="s">
        <v>30</v>
      </c>
      <c r="C325" s="3" t="s">
        <v>31</v>
      </c>
      <c r="D325" s="3" t="s">
        <v>102</v>
      </c>
      <c r="E325" s="3">
        <v>12</v>
      </c>
      <c r="F325" s="3">
        <v>2023</v>
      </c>
      <c r="G325" s="9" t="s">
        <v>89</v>
      </c>
      <c r="H325" s="3">
        <v>14782</v>
      </c>
      <c r="I325" s="3">
        <v>15551</v>
      </c>
      <c r="J325" s="3">
        <v>-769</v>
      </c>
      <c r="K325" s="3">
        <v>5.2</v>
      </c>
      <c r="L325" s="3" t="s">
        <v>83</v>
      </c>
      <c r="M325">
        <f t="shared" si="30"/>
        <v>11962.666666666666</v>
      </c>
      <c r="N325">
        <f t="shared" si="34"/>
        <v>11893.257390343322</v>
      </c>
      <c r="O325">
        <f t="shared" si="31"/>
        <v>769</v>
      </c>
      <c r="P325" s="6">
        <f t="shared" si="32"/>
        <v>5.2022730347720203E-2</v>
      </c>
      <c r="Q325" s="6">
        <f t="shared" si="33"/>
        <v>0.1954229880704017</v>
      </c>
    </row>
    <row r="326" spans="1:17" x14ac:dyDescent="0.25">
      <c r="A326" s="2">
        <v>325</v>
      </c>
      <c r="B326" s="2" t="s">
        <v>30</v>
      </c>
      <c r="C326" s="2" t="s">
        <v>31</v>
      </c>
      <c r="D326" s="2" t="s">
        <v>102</v>
      </c>
      <c r="E326" s="2">
        <v>1</v>
      </c>
      <c r="F326" s="2">
        <v>2024</v>
      </c>
      <c r="G326" s="8" t="s">
        <v>90</v>
      </c>
      <c r="H326" s="2">
        <v>9445</v>
      </c>
      <c r="I326" s="2">
        <v>9338</v>
      </c>
      <c r="J326" s="2">
        <v>107</v>
      </c>
      <c r="K326" s="2">
        <v>1.1000000000000001</v>
      </c>
      <c r="L326" s="2" t="s">
        <v>83</v>
      </c>
      <c r="M326">
        <f t="shared" ref="M326:M389" si="35">AVERAGE(H323:H325)</f>
        <v>13186.333333333334</v>
      </c>
      <c r="N326">
        <f t="shared" si="34"/>
        <v>12759.880173240326</v>
      </c>
      <c r="O326">
        <f t="shared" si="31"/>
        <v>107</v>
      </c>
      <c r="P326" s="6">
        <f t="shared" si="32"/>
        <v>1.1328745367919535E-2</v>
      </c>
      <c r="Q326" s="6">
        <f t="shared" si="33"/>
        <v>0.35096666736266025</v>
      </c>
    </row>
    <row r="327" spans="1:17" x14ac:dyDescent="0.25">
      <c r="A327" s="3">
        <v>326</v>
      </c>
      <c r="B327" s="3" t="s">
        <v>30</v>
      </c>
      <c r="C327" s="3" t="s">
        <v>31</v>
      </c>
      <c r="D327" s="3" t="s">
        <v>102</v>
      </c>
      <c r="E327" s="3">
        <v>2</v>
      </c>
      <c r="F327" s="3">
        <v>2024</v>
      </c>
      <c r="G327" s="9" t="s">
        <v>91</v>
      </c>
      <c r="H327" s="3">
        <v>7961</v>
      </c>
      <c r="I327" s="3">
        <v>7210</v>
      </c>
      <c r="J327" s="3">
        <v>751</v>
      </c>
      <c r="K327" s="3">
        <v>9.4</v>
      </c>
      <c r="L327" s="3" t="s">
        <v>76</v>
      </c>
      <c r="M327">
        <f t="shared" si="35"/>
        <v>12833</v>
      </c>
      <c r="N327">
        <f t="shared" si="34"/>
        <v>11765.416121268228</v>
      </c>
      <c r="O327">
        <f t="shared" si="31"/>
        <v>751</v>
      </c>
      <c r="P327" s="6">
        <f t="shared" si="32"/>
        <v>9.4334882552443156E-2</v>
      </c>
      <c r="Q327" s="6">
        <f t="shared" si="33"/>
        <v>0.47788168838942702</v>
      </c>
    </row>
    <row r="328" spans="1:17" x14ac:dyDescent="0.25">
      <c r="A328" s="2">
        <v>327</v>
      </c>
      <c r="B328" s="2" t="s">
        <v>30</v>
      </c>
      <c r="C328" s="2" t="s">
        <v>31</v>
      </c>
      <c r="D328" s="2" t="s">
        <v>102</v>
      </c>
      <c r="E328" s="2">
        <v>3</v>
      </c>
      <c r="F328" s="2">
        <v>2024</v>
      </c>
      <c r="G328" s="8" t="s">
        <v>92</v>
      </c>
      <c r="H328" s="2">
        <v>10378</v>
      </c>
      <c r="I328" s="2">
        <v>9949</v>
      </c>
      <c r="J328" s="2">
        <v>429</v>
      </c>
      <c r="K328" s="2">
        <v>4.0999999999999996</v>
      </c>
      <c r="L328" s="2" t="s">
        <v>76</v>
      </c>
      <c r="M328">
        <f t="shared" si="35"/>
        <v>10729.333333333334</v>
      </c>
      <c r="N328">
        <f t="shared" si="34"/>
        <v>10624.091284887758</v>
      </c>
      <c r="O328">
        <f t="shared" si="31"/>
        <v>429</v>
      </c>
      <c r="P328" s="6">
        <f t="shared" si="32"/>
        <v>4.1337444594334166E-2</v>
      </c>
      <c r="Q328" s="6">
        <f t="shared" si="33"/>
        <v>2.3712785207916542E-2</v>
      </c>
    </row>
    <row r="329" spans="1:17" x14ac:dyDescent="0.25">
      <c r="A329" s="3">
        <v>328</v>
      </c>
      <c r="B329" s="3" t="s">
        <v>30</v>
      </c>
      <c r="C329" s="3" t="s">
        <v>31</v>
      </c>
      <c r="D329" s="3" t="s">
        <v>102</v>
      </c>
      <c r="E329" s="3">
        <v>4</v>
      </c>
      <c r="F329" s="3">
        <v>2024</v>
      </c>
      <c r="G329" s="9" t="s">
        <v>93</v>
      </c>
      <c r="H329" s="3">
        <v>10030</v>
      </c>
      <c r="I329" s="3">
        <v>9516</v>
      </c>
      <c r="J329" s="3">
        <v>514</v>
      </c>
      <c r="K329" s="3">
        <v>5.0999999999999996</v>
      </c>
      <c r="L329" s="3" t="s">
        <v>76</v>
      </c>
      <c r="M329">
        <f t="shared" si="35"/>
        <v>9261.3333333333339</v>
      </c>
      <c r="N329">
        <f t="shared" si="34"/>
        <v>10550.26389942143</v>
      </c>
      <c r="O329">
        <f t="shared" si="31"/>
        <v>514</v>
      </c>
      <c r="P329" s="6">
        <f t="shared" si="32"/>
        <v>5.1246261216350945E-2</v>
      </c>
      <c r="Q329" s="6">
        <f t="shared" si="33"/>
        <v>5.1870777609315084E-2</v>
      </c>
    </row>
    <row r="330" spans="1:17" x14ac:dyDescent="0.25">
      <c r="A330" s="2">
        <v>329</v>
      </c>
      <c r="B330" s="2" t="s">
        <v>30</v>
      </c>
      <c r="C330" s="2" t="s">
        <v>31</v>
      </c>
      <c r="D330" s="2" t="s">
        <v>102</v>
      </c>
      <c r="E330" s="2">
        <v>5</v>
      </c>
      <c r="F330" s="2">
        <v>2024</v>
      </c>
      <c r="G330" s="8" t="s">
        <v>94</v>
      </c>
      <c r="H330" s="2">
        <v>10879</v>
      </c>
      <c r="I330" s="2">
        <v>11515</v>
      </c>
      <c r="J330" s="2">
        <v>-636</v>
      </c>
      <c r="K330" s="2">
        <v>5.8</v>
      </c>
      <c r="L330" s="2" t="s">
        <v>78</v>
      </c>
      <c r="M330">
        <f t="shared" si="35"/>
        <v>9456.3333333333339</v>
      </c>
      <c r="N330">
        <f t="shared" si="34"/>
        <v>10394.184729595001</v>
      </c>
      <c r="O330">
        <f t="shared" si="31"/>
        <v>636</v>
      </c>
      <c r="P330" s="6">
        <f t="shared" si="32"/>
        <v>5.8461255630113063E-2</v>
      </c>
      <c r="Q330" s="6">
        <f t="shared" si="33"/>
        <v>4.4564323044856968E-2</v>
      </c>
    </row>
    <row r="331" spans="1:17" x14ac:dyDescent="0.25">
      <c r="A331" s="3">
        <v>330</v>
      </c>
      <c r="B331" s="3" t="s">
        <v>30</v>
      </c>
      <c r="C331" s="3" t="s">
        <v>31</v>
      </c>
      <c r="D331" s="3" t="s">
        <v>102</v>
      </c>
      <c r="E331" s="3">
        <v>6</v>
      </c>
      <c r="F331" s="3">
        <v>2024</v>
      </c>
      <c r="G331" s="9" t="s">
        <v>95</v>
      </c>
      <c r="H331" s="3">
        <v>10345</v>
      </c>
      <c r="I331" s="3">
        <v>10571</v>
      </c>
      <c r="J331" s="3">
        <v>-226</v>
      </c>
      <c r="K331" s="3">
        <v>2.2000000000000002</v>
      </c>
      <c r="L331" s="3" t="s">
        <v>76</v>
      </c>
      <c r="M331">
        <f t="shared" si="35"/>
        <v>10429</v>
      </c>
      <c r="N331">
        <f t="shared" si="34"/>
        <v>10539.6293107165</v>
      </c>
      <c r="O331">
        <f t="shared" si="31"/>
        <v>226</v>
      </c>
      <c r="P331" s="6">
        <f t="shared" si="32"/>
        <v>2.1846302561623974E-2</v>
      </c>
      <c r="Q331" s="6">
        <f t="shared" si="33"/>
        <v>1.8813853138376045E-2</v>
      </c>
    </row>
    <row r="332" spans="1:17" x14ac:dyDescent="0.25">
      <c r="A332" s="2">
        <v>331</v>
      </c>
      <c r="B332" s="2" t="s">
        <v>30</v>
      </c>
      <c r="C332" s="2" t="s">
        <v>31</v>
      </c>
      <c r="D332" s="2" t="s">
        <v>102</v>
      </c>
      <c r="E332" s="2">
        <v>7</v>
      </c>
      <c r="F332" s="2">
        <v>2024</v>
      </c>
      <c r="G332" s="8" t="s">
        <v>96</v>
      </c>
      <c r="H332" s="2">
        <v>11332</v>
      </c>
      <c r="I332" s="2">
        <v>10744</v>
      </c>
      <c r="J332" s="2">
        <v>588</v>
      </c>
      <c r="K332" s="2">
        <v>5.2</v>
      </c>
      <c r="L332" s="2" t="s">
        <v>83</v>
      </c>
      <c r="M332">
        <f t="shared" si="35"/>
        <v>10418</v>
      </c>
      <c r="N332">
        <f t="shared" si="34"/>
        <v>10481.240517501548</v>
      </c>
      <c r="O332">
        <f t="shared" si="31"/>
        <v>588</v>
      </c>
      <c r="P332" s="6">
        <f t="shared" si="32"/>
        <v>5.1888457465584188E-2</v>
      </c>
      <c r="Q332" s="6">
        <f t="shared" si="33"/>
        <v>7.5075845614053269E-2</v>
      </c>
    </row>
    <row r="333" spans="1:17" x14ac:dyDescent="0.25">
      <c r="A333" s="3">
        <v>332</v>
      </c>
      <c r="B333" s="3" t="s">
        <v>30</v>
      </c>
      <c r="C333" s="3" t="s">
        <v>31</v>
      </c>
      <c r="D333" s="3" t="s">
        <v>102</v>
      </c>
      <c r="E333" s="3">
        <v>8</v>
      </c>
      <c r="F333" s="3">
        <v>2024</v>
      </c>
      <c r="G333" s="9" t="s">
        <v>97</v>
      </c>
      <c r="H333" s="3">
        <v>9792</v>
      </c>
      <c r="I333" s="3">
        <v>9715</v>
      </c>
      <c r="J333" s="3">
        <v>77</v>
      </c>
      <c r="K333" s="3">
        <v>0.8</v>
      </c>
      <c r="L333" s="3" t="s">
        <v>76</v>
      </c>
      <c r="M333">
        <f t="shared" si="35"/>
        <v>10852</v>
      </c>
      <c r="N333">
        <f t="shared" si="34"/>
        <v>10736.468362251084</v>
      </c>
      <c r="O333">
        <f t="shared" si="31"/>
        <v>77</v>
      </c>
      <c r="P333" s="6">
        <f t="shared" si="32"/>
        <v>7.8635620915032678E-3</v>
      </c>
      <c r="Q333" s="6">
        <f t="shared" si="33"/>
        <v>9.6453059870412972E-2</v>
      </c>
    </row>
    <row r="334" spans="1:17" x14ac:dyDescent="0.25">
      <c r="A334" s="2">
        <v>333</v>
      </c>
      <c r="B334" s="2" t="s">
        <v>30</v>
      </c>
      <c r="C334" s="2" t="s">
        <v>31</v>
      </c>
      <c r="D334" s="2" t="s">
        <v>102</v>
      </c>
      <c r="E334" s="2">
        <v>9</v>
      </c>
      <c r="F334" s="2">
        <v>2024</v>
      </c>
      <c r="G334" s="8" t="s">
        <v>98</v>
      </c>
      <c r="H334" s="2">
        <v>10101</v>
      </c>
      <c r="I334" s="2">
        <v>10438</v>
      </c>
      <c r="J334" s="2">
        <v>-337</v>
      </c>
      <c r="K334" s="2">
        <v>3.3</v>
      </c>
      <c r="L334" s="2" t="s">
        <v>76</v>
      </c>
      <c r="M334">
        <f t="shared" si="35"/>
        <v>10489.666666666666</v>
      </c>
      <c r="N334">
        <f t="shared" si="34"/>
        <v>10453.127853575757</v>
      </c>
      <c r="O334">
        <f t="shared" si="31"/>
        <v>337</v>
      </c>
      <c r="P334" s="6">
        <f t="shared" si="32"/>
        <v>3.3363033363033361E-2</v>
      </c>
      <c r="Q334" s="6">
        <f t="shared" si="33"/>
        <v>3.4860692364692344E-2</v>
      </c>
    </row>
    <row r="335" spans="1:17" x14ac:dyDescent="0.25">
      <c r="A335" s="3">
        <v>334</v>
      </c>
      <c r="B335" s="3" t="s">
        <v>30</v>
      </c>
      <c r="C335" s="3" t="s">
        <v>31</v>
      </c>
      <c r="D335" s="3" t="s">
        <v>102</v>
      </c>
      <c r="E335" s="3">
        <v>10</v>
      </c>
      <c r="F335" s="3">
        <v>2024</v>
      </c>
      <c r="G335" s="9" t="s">
        <v>99</v>
      </c>
      <c r="H335" s="3">
        <v>12300</v>
      </c>
      <c r="I335" s="3">
        <v>12736</v>
      </c>
      <c r="J335" s="3">
        <v>-436</v>
      </c>
      <c r="K335" s="3">
        <v>3.5</v>
      </c>
      <c r="L335" s="3" t="s">
        <v>78</v>
      </c>
      <c r="M335">
        <f t="shared" si="35"/>
        <v>10408.333333333334</v>
      </c>
      <c r="N335">
        <f t="shared" si="34"/>
        <v>10347.489497503029</v>
      </c>
      <c r="O335">
        <f t="shared" si="31"/>
        <v>436</v>
      </c>
      <c r="P335" s="6">
        <f t="shared" si="32"/>
        <v>3.5447154471544715E-2</v>
      </c>
      <c r="Q335" s="6">
        <f t="shared" si="33"/>
        <v>0.15874069125991633</v>
      </c>
    </row>
    <row r="336" spans="1:17" x14ac:dyDescent="0.25">
      <c r="A336" s="2">
        <v>335</v>
      </c>
      <c r="B336" s="2" t="s">
        <v>30</v>
      </c>
      <c r="C336" s="2" t="s">
        <v>31</v>
      </c>
      <c r="D336" s="2" t="s">
        <v>102</v>
      </c>
      <c r="E336" s="2">
        <v>11</v>
      </c>
      <c r="F336" s="2">
        <v>2024</v>
      </c>
      <c r="G336" s="8" t="s">
        <v>100</v>
      </c>
      <c r="H336" s="2">
        <v>11446</v>
      </c>
      <c r="I336" s="2">
        <v>12465</v>
      </c>
      <c r="J336" s="2">
        <v>-1019</v>
      </c>
      <c r="K336" s="2">
        <v>8.9</v>
      </c>
      <c r="L336" s="2" t="s">
        <v>83</v>
      </c>
      <c r="M336">
        <f t="shared" si="35"/>
        <v>10731</v>
      </c>
      <c r="N336">
        <f t="shared" si="34"/>
        <v>10933.242648252119</v>
      </c>
      <c r="O336">
        <f t="shared" si="31"/>
        <v>1019</v>
      </c>
      <c r="P336" s="6">
        <f t="shared" si="32"/>
        <v>8.902673423029879E-2</v>
      </c>
      <c r="Q336" s="6">
        <f t="shared" si="33"/>
        <v>4.4797951402051485E-2</v>
      </c>
    </row>
    <row r="337" spans="1:17" x14ac:dyDescent="0.25">
      <c r="A337" s="3">
        <v>336</v>
      </c>
      <c r="B337" s="3" t="s">
        <v>30</v>
      </c>
      <c r="C337" s="3" t="s">
        <v>31</v>
      </c>
      <c r="D337" s="3" t="s">
        <v>102</v>
      </c>
      <c r="E337" s="3">
        <v>12</v>
      </c>
      <c r="F337" s="3">
        <v>2024</v>
      </c>
      <c r="G337" s="9" t="s">
        <v>101</v>
      </c>
      <c r="H337" s="3">
        <v>12620</v>
      </c>
      <c r="I337" s="3">
        <v>13786</v>
      </c>
      <c r="J337" s="3">
        <v>-1166</v>
      </c>
      <c r="K337" s="3">
        <v>9.1999999999999993</v>
      </c>
      <c r="L337" s="3" t="s">
        <v>83</v>
      </c>
      <c r="M337">
        <f t="shared" si="35"/>
        <v>11282.333333333334</v>
      </c>
      <c r="N337">
        <f t="shared" si="34"/>
        <v>11087.069853776482</v>
      </c>
      <c r="O337">
        <f t="shared" si="31"/>
        <v>1166</v>
      </c>
      <c r="P337" s="6">
        <f t="shared" si="32"/>
        <v>9.2393026941362921E-2</v>
      </c>
      <c r="Q337" s="6">
        <f t="shared" si="33"/>
        <v>0.12146831586557195</v>
      </c>
    </row>
    <row r="338" spans="1:17" x14ac:dyDescent="0.25">
      <c r="A338" s="2">
        <v>337</v>
      </c>
      <c r="B338" s="2" t="s">
        <v>30</v>
      </c>
      <c r="C338" s="2" t="s">
        <v>31</v>
      </c>
      <c r="D338" s="2" t="s">
        <v>103</v>
      </c>
      <c r="E338" s="2">
        <v>1</v>
      </c>
      <c r="F338" s="2">
        <v>2023</v>
      </c>
      <c r="G338" s="8" t="s">
        <v>75</v>
      </c>
      <c r="H338" s="2">
        <v>9108</v>
      </c>
      <c r="I338" s="2">
        <v>9737</v>
      </c>
      <c r="J338" s="2">
        <v>-629</v>
      </c>
      <c r="K338" s="2">
        <v>6.9</v>
      </c>
      <c r="L338" s="2" t="s">
        <v>78</v>
      </c>
      <c r="M338">
        <f t="shared" si="35"/>
        <v>12122</v>
      </c>
      <c r="N338">
        <f t="shared" si="34"/>
        <v>11546.948897643537</v>
      </c>
      <c r="O338">
        <f t="shared" si="31"/>
        <v>629</v>
      </c>
      <c r="P338" s="6">
        <f t="shared" si="32"/>
        <v>6.906016688625384E-2</v>
      </c>
      <c r="Q338" s="6">
        <f t="shared" si="33"/>
        <v>0.26778095055374801</v>
      </c>
    </row>
    <row r="339" spans="1:17" x14ac:dyDescent="0.25">
      <c r="A339" s="3">
        <v>338</v>
      </c>
      <c r="B339" s="3" t="s">
        <v>30</v>
      </c>
      <c r="C339" s="3" t="s">
        <v>31</v>
      </c>
      <c r="D339" s="3" t="s">
        <v>103</v>
      </c>
      <c r="E339" s="3">
        <v>2</v>
      </c>
      <c r="F339" s="3">
        <v>2023</v>
      </c>
      <c r="G339" s="9" t="s">
        <v>77</v>
      </c>
      <c r="H339" s="3">
        <v>10468</v>
      </c>
      <c r="I339" s="3">
        <v>11207</v>
      </c>
      <c r="J339" s="3">
        <v>-739</v>
      </c>
      <c r="K339" s="3">
        <v>7.1</v>
      </c>
      <c r="L339" s="3" t="s">
        <v>78</v>
      </c>
      <c r="M339">
        <f t="shared" si="35"/>
        <v>11058</v>
      </c>
      <c r="N339">
        <f t="shared" si="34"/>
        <v>10815.264228350476</v>
      </c>
      <c r="O339">
        <f t="shared" si="31"/>
        <v>739</v>
      </c>
      <c r="P339" s="6">
        <f t="shared" si="32"/>
        <v>7.0596102407336644E-2</v>
      </c>
      <c r="Q339" s="6">
        <f t="shared" si="33"/>
        <v>3.3173885016285404E-2</v>
      </c>
    </row>
    <row r="340" spans="1:17" x14ac:dyDescent="0.25">
      <c r="A340" s="2">
        <v>339</v>
      </c>
      <c r="B340" s="2" t="s">
        <v>30</v>
      </c>
      <c r="C340" s="2" t="s">
        <v>31</v>
      </c>
      <c r="D340" s="2" t="s">
        <v>103</v>
      </c>
      <c r="E340" s="2">
        <v>3</v>
      </c>
      <c r="F340" s="2">
        <v>2023</v>
      </c>
      <c r="G340" s="8" t="s">
        <v>79</v>
      </c>
      <c r="H340" s="2">
        <v>10146</v>
      </c>
      <c r="I340" s="2">
        <v>10291</v>
      </c>
      <c r="J340" s="2">
        <v>-145</v>
      </c>
      <c r="K340" s="2">
        <v>1.4</v>
      </c>
      <c r="L340" s="2" t="s">
        <v>83</v>
      </c>
      <c r="M340">
        <f t="shared" si="35"/>
        <v>10732</v>
      </c>
      <c r="N340">
        <f t="shared" si="34"/>
        <v>10711.084959845333</v>
      </c>
      <c r="O340">
        <f t="shared" si="31"/>
        <v>145</v>
      </c>
      <c r="P340" s="6">
        <f t="shared" si="32"/>
        <v>1.4291346343386557E-2</v>
      </c>
      <c r="Q340" s="6">
        <f t="shared" si="33"/>
        <v>5.5695343962678223E-2</v>
      </c>
    </row>
    <row r="341" spans="1:17" x14ac:dyDescent="0.25">
      <c r="A341" s="3">
        <v>340</v>
      </c>
      <c r="B341" s="3" t="s">
        <v>30</v>
      </c>
      <c r="C341" s="3" t="s">
        <v>31</v>
      </c>
      <c r="D341" s="3" t="s">
        <v>103</v>
      </c>
      <c r="E341" s="3">
        <v>4</v>
      </c>
      <c r="F341" s="3">
        <v>2023</v>
      </c>
      <c r="G341" s="9" t="s">
        <v>80</v>
      </c>
      <c r="H341" s="3">
        <v>10841</v>
      </c>
      <c r="I341" s="3">
        <v>11273</v>
      </c>
      <c r="J341" s="3">
        <v>-432</v>
      </c>
      <c r="K341" s="3">
        <v>4</v>
      </c>
      <c r="L341" s="3" t="s">
        <v>78</v>
      </c>
      <c r="M341">
        <f t="shared" si="35"/>
        <v>9907.3333333333339</v>
      </c>
      <c r="N341">
        <f t="shared" si="34"/>
        <v>10541.559471891733</v>
      </c>
      <c r="O341">
        <f t="shared" si="31"/>
        <v>432</v>
      </c>
      <c r="P341" s="6">
        <f t="shared" si="32"/>
        <v>3.9848722442579095E-2</v>
      </c>
      <c r="Q341" s="6">
        <f t="shared" si="33"/>
        <v>2.7621116881124182E-2</v>
      </c>
    </row>
    <row r="342" spans="1:17" x14ac:dyDescent="0.25">
      <c r="A342" s="2">
        <v>341</v>
      </c>
      <c r="B342" s="2" t="s">
        <v>30</v>
      </c>
      <c r="C342" s="2" t="s">
        <v>31</v>
      </c>
      <c r="D342" s="2" t="s">
        <v>103</v>
      </c>
      <c r="E342" s="2">
        <v>5</v>
      </c>
      <c r="F342" s="2">
        <v>2023</v>
      </c>
      <c r="G342" s="8" t="s">
        <v>81</v>
      </c>
      <c r="H342" s="2">
        <v>13343</v>
      </c>
      <c r="I342" s="2">
        <v>13765</v>
      </c>
      <c r="J342" s="2">
        <v>-422</v>
      </c>
      <c r="K342" s="2">
        <v>3.2</v>
      </c>
      <c r="L342" s="2" t="s">
        <v>76</v>
      </c>
      <c r="M342">
        <f t="shared" si="35"/>
        <v>10485</v>
      </c>
      <c r="N342">
        <f t="shared" si="34"/>
        <v>10631.391630324211</v>
      </c>
      <c r="O342">
        <f t="shared" si="31"/>
        <v>422</v>
      </c>
      <c r="P342" s="6">
        <f t="shared" si="32"/>
        <v>3.1627070373978862E-2</v>
      </c>
      <c r="Q342" s="6">
        <f t="shared" si="33"/>
        <v>0.20322329083982529</v>
      </c>
    </row>
    <row r="343" spans="1:17" x14ac:dyDescent="0.25">
      <c r="A343" s="3">
        <v>342</v>
      </c>
      <c r="B343" s="3" t="s">
        <v>30</v>
      </c>
      <c r="C343" s="3" t="s">
        <v>31</v>
      </c>
      <c r="D343" s="3" t="s">
        <v>103</v>
      </c>
      <c r="E343" s="3">
        <v>6</v>
      </c>
      <c r="F343" s="3">
        <v>2023</v>
      </c>
      <c r="G343" s="9" t="s">
        <v>82</v>
      </c>
      <c r="H343" s="3">
        <v>11059</v>
      </c>
      <c r="I343" s="3">
        <v>11866</v>
      </c>
      <c r="J343" s="3">
        <v>-807</v>
      </c>
      <c r="K343" s="3">
        <v>7.3</v>
      </c>
      <c r="L343" s="3" t="s">
        <v>83</v>
      </c>
      <c r="M343">
        <f t="shared" si="35"/>
        <v>11443.333333333334</v>
      </c>
      <c r="N343">
        <f t="shared" si="34"/>
        <v>11444.874141226948</v>
      </c>
      <c r="O343">
        <f t="shared" si="31"/>
        <v>807</v>
      </c>
      <c r="P343" s="6">
        <f t="shared" si="32"/>
        <v>7.2972239804683967E-2</v>
      </c>
      <c r="Q343" s="6">
        <f t="shared" si="33"/>
        <v>3.4892317680346167E-2</v>
      </c>
    </row>
    <row r="344" spans="1:17" x14ac:dyDescent="0.25">
      <c r="A344" s="2">
        <v>343</v>
      </c>
      <c r="B344" s="2" t="s">
        <v>30</v>
      </c>
      <c r="C344" s="2" t="s">
        <v>31</v>
      </c>
      <c r="D344" s="2" t="s">
        <v>103</v>
      </c>
      <c r="E344" s="2">
        <v>7</v>
      </c>
      <c r="F344" s="2">
        <v>2023</v>
      </c>
      <c r="G344" s="8" t="s">
        <v>84</v>
      </c>
      <c r="H344" s="2">
        <v>13711</v>
      </c>
      <c r="I344" s="2">
        <v>14836</v>
      </c>
      <c r="J344" s="2">
        <v>-1125</v>
      </c>
      <c r="K344" s="2">
        <v>8.1999999999999993</v>
      </c>
      <c r="L344" s="2" t="s">
        <v>83</v>
      </c>
      <c r="M344">
        <f t="shared" si="35"/>
        <v>11747.666666666666</v>
      </c>
      <c r="N344">
        <f t="shared" si="34"/>
        <v>11329.111898858864</v>
      </c>
      <c r="O344">
        <f t="shared" si="31"/>
        <v>1125</v>
      </c>
      <c r="P344" s="6">
        <f t="shared" si="32"/>
        <v>8.2050908030048872E-2</v>
      </c>
      <c r="Q344" s="6">
        <f t="shared" si="33"/>
        <v>0.17372096135519918</v>
      </c>
    </row>
    <row r="345" spans="1:17" x14ac:dyDescent="0.25">
      <c r="A345" s="3">
        <v>344</v>
      </c>
      <c r="B345" s="3" t="s">
        <v>30</v>
      </c>
      <c r="C345" s="3" t="s">
        <v>31</v>
      </c>
      <c r="D345" s="3" t="s">
        <v>103</v>
      </c>
      <c r="E345" s="3">
        <v>8</v>
      </c>
      <c r="F345" s="3">
        <v>2023</v>
      </c>
      <c r="G345" s="9" t="s">
        <v>85</v>
      </c>
      <c r="H345" s="3">
        <v>11960</v>
      </c>
      <c r="I345" s="3">
        <v>12926</v>
      </c>
      <c r="J345" s="3">
        <v>-966</v>
      </c>
      <c r="K345" s="3">
        <v>8.1</v>
      </c>
      <c r="L345" s="3" t="s">
        <v>76</v>
      </c>
      <c r="M345">
        <f t="shared" si="35"/>
        <v>12704.333333333334</v>
      </c>
      <c r="N345">
        <f t="shared" si="34"/>
        <v>12043.678329201204</v>
      </c>
      <c r="O345">
        <f t="shared" si="31"/>
        <v>966</v>
      </c>
      <c r="P345" s="6">
        <f t="shared" si="32"/>
        <v>8.0769230769230774E-2</v>
      </c>
      <c r="Q345" s="6">
        <f t="shared" si="33"/>
        <v>6.9965158194986773E-3</v>
      </c>
    </row>
    <row r="346" spans="1:17" x14ac:dyDescent="0.25">
      <c r="A346" s="2">
        <v>345</v>
      </c>
      <c r="B346" s="2" t="s">
        <v>30</v>
      </c>
      <c r="C346" s="2" t="s">
        <v>31</v>
      </c>
      <c r="D346" s="2" t="s">
        <v>103</v>
      </c>
      <c r="E346" s="2">
        <v>9</v>
      </c>
      <c r="F346" s="2">
        <v>2023</v>
      </c>
      <c r="G346" s="8" t="s">
        <v>86</v>
      </c>
      <c r="H346" s="2">
        <v>12154</v>
      </c>
      <c r="I346" s="2">
        <v>11497</v>
      </c>
      <c r="J346" s="2">
        <v>657</v>
      </c>
      <c r="K346" s="2">
        <v>5.4</v>
      </c>
      <c r="L346" s="2" t="s">
        <v>76</v>
      </c>
      <c r="M346">
        <f t="shared" si="35"/>
        <v>12243.333333333334</v>
      </c>
      <c r="N346">
        <f t="shared" si="34"/>
        <v>12018.574830440843</v>
      </c>
      <c r="O346">
        <f t="shared" si="31"/>
        <v>657</v>
      </c>
      <c r="P346" s="6">
        <f t="shared" si="32"/>
        <v>5.4056277768635842E-2</v>
      </c>
      <c r="Q346" s="6">
        <f t="shared" si="33"/>
        <v>1.114243619871297E-2</v>
      </c>
    </row>
    <row r="347" spans="1:17" x14ac:dyDescent="0.25">
      <c r="A347" s="3">
        <v>346</v>
      </c>
      <c r="B347" s="3" t="s">
        <v>30</v>
      </c>
      <c r="C347" s="3" t="s">
        <v>31</v>
      </c>
      <c r="D347" s="3" t="s">
        <v>103</v>
      </c>
      <c r="E347" s="3">
        <v>10</v>
      </c>
      <c r="F347" s="3">
        <v>2023</v>
      </c>
      <c r="G347" s="9" t="s">
        <v>87</v>
      </c>
      <c r="H347" s="3">
        <v>11694</v>
      </c>
      <c r="I347" s="3">
        <v>10969</v>
      </c>
      <c r="J347" s="3">
        <v>725</v>
      </c>
      <c r="K347" s="3">
        <v>6.2</v>
      </c>
      <c r="L347" s="3" t="s">
        <v>76</v>
      </c>
      <c r="M347">
        <f t="shared" si="35"/>
        <v>12608.333333333334</v>
      </c>
      <c r="N347">
        <f t="shared" si="34"/>
        <v>12059.202381308591</v>
      </c>
      <c r="O347">
        <f t="shared" si="31"/>
        <v>725</v>
      </c>
      <c r="P347" s="6">
        <f t="shared" si="32"/>
        <v>6.199760560971438E-2</v>
      </c>
      <c r="Q347" s="6">
        <f t="shared" si="33"/>
        <v>3.1229894074618667E-2</v>
      </c>
    </row>
    <row r="348" spans="1:17" x14ac:dyDescent="0.25">
      <c r="A348" s="2">
        <v>347</v>
      </c>
      <c r="B348" s="2" t="s">
        <v>30</v>
      </c>
      <c r="C348" s="2" t="s">
        <v>31</v>
      </c>
      <c r="D348" s="2" t="s">
        <v>103</v>
      </c>
      <c r="E348" s="2">
        <v>11</v>
      </c>
      <c r="F348" s="2">
        <v>2023</v>
      </c>
      <c r="G348" s="8" t="s">
        <v>88</v>
      </c>
      <c r="H348" s="2">
        <v>14857</v>
      </c>
      <c r="I348" s="2">
        <v>15513</v>
      </c>
      <c r="J348" s="2">
        <v>-656</v>
      </c>
      <c r="K348" s="2">
        <v>4.4000000000000004</v>
      </c>
      <c r="L348" s="2" t="s">
        <v>83</v>
      </c>
      <c r="M348">
        <f t="shared" si="35"/>
        <v>11936</v>
      </c>
      <c r="N348">
        <f t="shared" si="34"/>
        <v>11949.641666916013</v>
      </c>
      <c r="O348">
        <f t="shared" si="31"/>
        <v>656</v>
      </c>
      <c r="P348" s="6">
        <f t="shared" si="32"/>
        <v>4.4154270714141484E-2</v>
      </c>
      <c r="Q348" s="6">
        <f t="shared" si="33"/>
        <v>0.19568946174086199</v>
      </c>
    </row>
    <row r="349" spans="1:17" x14ac:dyDescent="0.25">
      <c r="A349" s="3">
        <v>348</v>
      </c>
      <c r="B349" s="3" t="s">
        <v>30</v>
      </c>
      <c r="C349" s="3" t="s">
        <v>31</v>
      </c>
      <c r="D349" s="3" t="s">
        <v>103</v>
      </c>
      <c r="E349" s="3">
        <v>12</v>
      </c>
      <c r="F349" s="3">
        <v>2023</v>
      </c>
      <c r="G349" s="9" t="s">
        <v>89</v>
      </c>
      <c r="H349" s="3">
        <v>15463</v>
      </c>
      <c r="I349" s="3">
        <v>14339</v>
      </c>
      <c r="J349" s="3">
        <v>1124</v>
      </c>
      <c r="K349" s="3">
        <v>7.3</v>
      </c>
      <c r="L349" s="3" t="s">
        <v>78</v>
      </c>
      <c r="M349">
        <f t="shared" si="35"/>
        <v>12901.666666666666</v>
      </c>
      <c r="N349">
        <f t="shared" si="34"/>
        <v>12821.84916684121</v>
      </c>
      <c r="O349">
        <f t="shared" si="31"/>
        <v>1124</v>
      </c>
      <c r="P349" s="6">
        <f t="shared" si="32"/>
        <v>7.2689646252344309E-2</v>
      </c>
      <c r="Q349" s="6">
        <f t="shared" si="33"/>
        <v>0.17080455494786201</v>
      </c>
    </row>
    <row r="350" spans="1:17" x14ac:dyDescent="0.25">
      <c r="A350" s="2">
        <v>349</v>
      </c>
      <c r="B350" s="2" t="s">
        <v>30</v>
      </c>
      <c r="C350" s="2" t="s">
        <v>31</v>
      </c>
      <c r="D350" s="2" t="s">
        <v>103</v>
      </c>
      <c r="E350" s="2">
        <v>1</v>
      </c>
      <c r="F350" s="2">
        <v>2024</v>
      </c>
      <c r="G350" s="8" t="s">
        <v>90</v>
      </c>
      <c r="H350" s="2">
        <v>10628</v>
      </c>
      <c r="I350" s="2">
        <v>10939</v>
      </c>
      <c r="J350" s="2">
        <v>-311</v>
      </c>
      <c r="K350" s="2">
        <v>2.9</v>
      </c>
      <c r="L350" s="2" t="s">
        <v>76</v>
      </c>
      <c r="M350">
        <f t="shared" si="35"/>
        <v>14004.666666666666</v>
      </c>
      <c r="N350">
        <f t="shared" si="34"/>
        <v>13614.194416788845</v>
      </c>
      <c r="O350">
        <f t="shared" si="31"/>
        <v>311</v>
      </c>
      <c r="P350" s="6">
        <f t="shared" si="32"/>
        <v>2.9262325931501694E-2</v>
      </c>
      <c r="Q350" s="6">
        <f t="shared" si="33"/>
        <v>0.28097425826014727</v>
      </c>
    </row>
    <row r="351" spans="1:17" x14ac:dyDescent="0.25">
      <c r="A351" s="3">
        <v>350</v>
      </c>
      <c r="B351" s="3" t="s">
        <v>30</v>
      </c>
      <c r="C351" s="3" t="s">
        <v>31</v>
      </c>
      <c r="D351" s="3" t="s">
        <v>103</v>
      </c>
      <c r="E351" s="3">
        <v>2</v>
      </c>
      <c r="F351" s="3">
        <v>2024</v>
      </c>
      <c r="G351" s="9" t="s">
        <v>91</v>
      </c>
      <c r="H351" s="3">
        <v>9995</v>
      </c>
      <c r="I351" s="3">
        <v>9062</v>
      </c>
      <c r="J351" s="3">
        <v>933</v>
      </c>
      <c r="K351" s="3">
        <v>9.3000000000000007</v>
      </c>
      <c r="L351" s="3" t="s">
        <v>76</v>
      </c>
      <c r="M351">
        <f t="shared" si="35"/>
        <v>13649.333333333334</v>
      </c>
      <c r="N351">
        <f t="shared" si="34"/>
        <v>12718.336091752191</v>
      </c>
      <c r="O351">
        <f t="shared" si="31"/>
        <v>933</v>
      </c>
      <c r="P351" s="6">
        <f t="shared" si="32"/>
        <v>9.3346673336668337E-2</v>
      </c>
      <c r="Q351" s="6">
        <f t="shared" si="33"/>
        <v>0.27246984409726777</v>
      </c>
    </row>
    <row r="352" spans="1:17" x14ac:dyDescent="0.25">
      <c r="A352" s="2">
        <v>351</v>
      </c>
      <c r="B352" s="2" t="s">
        <v>30</v>
      </c>
      <c r="C352" s="2" t="s">
        <v>31</v>
      </c>
      <c r="D352" s="2" t="s">
        <v>103</v>
      </c>
      <c r="E352" s="2">
        <v>3</v>
      </c>
      <c r="F352" s="2">
        <v>2024</v>
      </c>
      <c r="G352" s="8" t="s">
        <v>92</v>
      </c>
      <c r="H352" s="2">
        <v>11433</v>
      </c>
      <c r="I352" s="2">
        <v>10495</v>
      </c>
      <c r="J352" s="2">
        <v>938</v>
      </c>
      <c r="K352" s="2">
        <v>8.1999999999999993</v>
      </c>
      <c r="L352" s="2" t="s">
        <v>76</v>
      </c>
      <c r="M352">
        <f t="shared" si="35"/>
        <v>12028.666666666666</v>
      </c>
      <c r="N352">
        <f t="shared" si="34"/>
        <v>11901.335264226533</v>
      </c>
      <c r="O352">
        <f t="shared" si="31"/>
        <v>938</v>
      </c>
      <c r="P352" s="6">
        <f t="shared" si="32"/>
        <v>8.204320825680049E-2</v>
      </c>
      <c r="Q352" s="6">
        <f t="shared" si="33"/>
        <v>4.0963462278188811E-2</v>
      </c>
    </row>
    <row r="353" spans="1:17" x14ac:dyDescent="0.25">
      <c r="A353" s="3">
        <v>352</v>
      </c>
      <c r="B353" s="3" t="s">
        <v>30</v>
      </c>
      <c r="C353" s="3" t="s">
        <v>31</v>
      </c>
      <c r="D353" s="3" t="s">
        <v>103</v>
      </c>
      <c r="E353" s="3">
        <v>4</v>
      </c>
      <c r="F353" s="3">
        <v>2024</v>
      </c>
      <c r="G353" s="9" t="s">
        <v>93</v>
      </c>
      <c r="H353" s="3">
        <v>10925</v>
      </c>
      <c r="I353" s="3">
        <v>10740</v>
      </c>
      <c r="J353" s="3">
        <v>185</v>
      </c>
      <c r="K353" s="3">
        <v>1.7</v>
      </c>
      <c r="L353" s="3" t="s">
        <v>78</v>
      </c>
      <c r="M353">
        <f t="shared" si="35"/>
        <v>10685.333333333334</v>
      </c>
      <c r="N353">
        <f t="shared" si="34"/>
        <v>11760.834684958572</v>
      </c>
      <c r="O353">
        <f t="shared" si="31"/>
        <v>185</v>
      </c>
      <c r="P353" s="6">
        <f t="shared" si="32"/>
        <v>1.6933638443935927E-2</v>
      </c>
      <c r="Q353" s="6">
        <f t="shared" si="33"/>
        <v>7.6506607318862455E-2</v>
      </c>
    </row>
    <row r="354" spans="1:17" x14ac:dyDescent="0.25">
      <c r="A354" s="2">
        <v>353</v>
      </c>
      <c r="B354" s="2" t="s">
        <v>30</v>
      </c>
      <c r="C354" s="2" t="s">
        <v>31</v>
      </c>
      <c r="D354" s="2" t="s">
        <v>103</v>
      </c>
      <c r="E354" s="2">
        <v>5</v>
      </c>
      <c r="F354" s="2">
        <v>2024</v>
      </c>
      <c r="G354" s="8" t="s">
        <v>94</v>
      </c>
      <c r="H354" s="2">
        <v>10913</v>
      </c>
      <c r="I354" s="2">
        <v>10999</v>
      </c>
      <c r="J354" s="2">
        <v>-86</v>
      </c>
      <c r="K354" s="2">
        <v>0.8</v>
      </c>
      <c r="L354" s="2" t="s">
        <v>76</v>
      </c>
      <c r="M354">
        <f t="shared" si="35"/>
        <v>10784.333333333334</v>
      </c>
      <c r="N354">
        <f t="shared" si="34"/>
        <v>11510.084279471001</v>
      </c>
      <c r="O354">
        <f t="shared" si="31"/>
        <v>86</v>
      </c>
      <c r="P354" s="6">
        <f t="shared" si="32"/>
        <v>7.8805094841015305E-3</v>
      </c>
      <c r="Q354" s="6">
        <f t="shared" si="33"/>
        <v>5.4713120083478478E-2</v>
      </c>
    </row>
    <row r="355" spans="1:17" x14ac:dyDescent="0.25">
      <c r="A355" s="3">
        <v>354</v>
      </c>
      <c r="B355" s="3" t="s">
        <v>30</v>
      </c>
      <c r="C355" s="3" t="s">
        <v>31</v>
      </c>
      <c r="D355" s="3" t="s">
        <v>103</v>
      </c>
      <c r="E355" s="3">
        <v>6</v>
      </c>
      <c r="F355" s="3">
        <v>2024</v>
      </c>
      <c r="G355" s="9" t="s">
        <v>95</v>
      </c>
      <c r="H355" s="3">
        <v>12632</v>
      </c>
      <c r="I355" s="3">
        <v>13676</v>
      </c>
      <c r="J355" s="3">
        <v>-1044</v>
      </c>
      <c r="K355" s="3">
        <v>8.3000000000000007</v>
      </c>
      <c r="L355" s="3" t="s">
        <v>78</v>
      </c>
      <c r="M355">
        <f t="shared" si="35"/>
        <v>11090.333333333334</v>
      </c>
      <c r="N355">
        <f t="shared" si="34"/>
        <v>11330.9589956297</v>
      </c>
      <c r="O355">
        <f t="shared" si="31"/>
        <v>1044</v>
      </c>
      <c r="P355" s="6">
        <f t="shared" si="32"/>
        <v>8.2647245091830274E-2</v>
      </c>
      <c r="Q355" s="6">
        <f t="shared" si="33"/>
        <v>0.1029956463244379</v>
      </c>
    </row>
    <row r="356" spans="1:17" x14ac:dyDescent="0.25">
      <c r="A356" s="2">
        <v>355</v>
      </c>
      <c r="B356" s="2" t="s">
        <v>30</v>
      </c>
      <c r="C356" s="2" t="s">
        <v>31</v>
      </c>
      <c r="D356" s="2" t="s">
        <v>103</v>
      </c>
      <c r="E356" s="2">
        <v>7</v>
      </c>
      <c r="F356" s="2">
        <v>2024</v>
      </c>
      <c r="G356" s="8" t="s">
        <v>96</v>
      </c>
      <c r="H356" s="2">
        <v>11593</v>
      </c>
      <c r="I356" s="2">
        <v>12345</v>
      </c>
      <c r="J356" s="2">
        <v>-752</v>
      </c>
      <c r="K356" s="2">
        <v>6.5</v>
      </c>
      <c r="L356" s="2" t="s">
        <v>76</v>
      </c>
      <c r="M356">
        <f t="shared" si="35"/>
        <v>11490</v>
      </c>
      <c r="N356">
        <f t="shared" si="34"/>
        <v>11721.271296940789</v>
      </c>
      <c r="O356">
        <f t="shared" si="31"/>
        <v>752</v>
      </c>
      <c r="P356" s="6">
        <f t="shared" si="32"/>
        <v>6.4866729923229532E-2</v>
      </c>
      <c r="Q356" s="6">
        <f t="shared" si="33"/>
        <v>1.1064547307926283E-2</v>
      </c>
    </row>
    <row r="357" spans="1:17" x14ac:dyDescent="0.25">
      <c r="A357" s="3">
        <v>356</v>
      </c>
      <c r="B357" s="3" t="s">
        <v>30</v>
      </c>
      <c r="C357" s="3" t="s">
        <v>31</v>
      </c>
      <c r="D357" s="3" t="s">
        <v>103</v>
      </c>
      <c r="E357" s="3">
        <v>8</v>
      </c>
      <c r="F357" s="3">
        <v>2024</v>
      </c>
      <c r="G357" s="9" t="s">
        <v>97</v>
      </c>
      <c r="H357" s="3">
        <v>13312</v>
      </c>
      <c r="I357" s="3">
        <v>12766</v>
      </c>
      <c r="J357" s="3">
        <v>546</v>
      </c>
      <c r="K357" s="3">
        <v>4.0999999999999996</v>
      </c>
      <c r="L357" s="3" t="s">
        <v>76</v>
      </c>
      <c r="M357">
        <f t="shared" si="35"/>
        <v>11712.666666666666</v>
      </c>
      <c r="N357">
        <f t="shared" si="34"/>
        <v>11682.789907858552</v>
      </c>
      <c r="O357">
        <f t="shared" si="31"/>
        <v>546</v>
      </c>
      <c r="P357" s="6">
        <f t="shared" si="32"/>
        <v>4.1015625E-2</v>
      </c>
      <c r="Q357" s="6">
        <f t="shared" si="33"/>
        <v>0.12238657543129865</v>
      </c>
    </row>
    <row r="358" spans="1:17" x14ac:dyDescent="0.25">
      <c r="A358" s="2">
        <v>357</v>
      </c>
      <c r="B358" s="2" t="s">
        <v>30</v>
      </c>
      <c r="C358" s="2" t="s">
        <v>31</v>
      </c>
      <c r="D358" s="2" t="s">
        <v>103</v>
      </c>
      <c r="E358" s="2">
        <v>9</v>
      </c>
      <c r="F358" s="2">
        <v>2024</v>
      </c>
      <c r="G358" s="8" t="s">
        <v>98</v>
      </c>
      <c r="H358" s="2">
        <v>12232</v>
      </c>
      <c r="I358" s="2">
        <v>12154</v>
      </c>
      <c r="J358" s="2">
        <v>78</v>
      </c>
      <c r="K358" s="2">
        <v>0.6</v>
      </c>
      <c r="L358" s="2" t="s">
        <v>78</v>
      </c>
      <c r="M358">
        <f t="shared" si="35"/>
        <v>12512.333333333334</v>
      </c>
      <c r="N358">
        <f t="shared" si="34"/>
        <v>12171.552935500986</v>
      </c>
      <c r="O358">
        <f t="shared" si="31"/>
        <v>78</v>
      </c>
      <c r="P358" s="6">
        <f t="shared" si="32"/>
        <v>6.3767168083714845E-3</v>
      </c>
      <c r="Q358" s="6">
        <f t="shared" si="33"/>
        <v>4.9417155411228117E-3</v>
      </c>
    </row>
    <row r="359" spans="1:17" x14ac:dyDescent="0.25">
      <c r="A359" s="3">
        <v>358</v>
      </c>
      <c r="B359" s="3" t="s">
        <v>30</v>
      </c>
      <c r="C359" s="3" t="s">
        <v>31</v>
      </c>
      <c r="D359" s="3" t="s">
        <v>103</v>
      </c>
      <c r="E359" s="3">
        <v>10</v>
      </c>
      <c r="F359" s="3">
        <v>2024</v>
      </c>
      <c r="G359" s="9" t="s">
        <v>99</v>
      </c>
      <c r="H359" s="3">
        <v>11458</v>
      </c>
      <c r="I359" s="3">
        <v>12527</v>
      </c>
      <c r="J359" s="3">
        <v>-1069</v>
      </c>
      <c r="K359" s="3">
        <v>9.3000000000000007</v>
      </c>
      <c r="L359" s="3" t="s">
        <v>83</v>
      </c>
      <c r="M359">
        <f t="shared" si="35"/>
        <v>12379</v>
      </c>
      <c r="N359">
        <f t="shared" si="34"/>
        <v>12189.68705485069</v>
      </c>
      <c r="O359">
        <f t="shared" si="31"/>
        <v>1069</v>
      </c>
      <c r="P359" s="6">
        <f t="shared" si="32"/>
        <v>9.3297259556641643E-2</v>
      </c>
      <c r="Q359" s="6">
        <f t="shared" si="33"/>
        <v>6.3858182479550565E-2</v>
      </c>
    </row>
    <row r="360" spans="1:17" x14ac:dyDescent="0.25">
      <c r="A360" s="2">
        <v>359</v>
      </c>
      <c r="B360" s="2" t="s">
        <v>30</v>
      </c>
      <c r="C360" s="2" t="s">
        <v>31</v>
      </c>
      <c r="D360" s="2" t="s">
        <v>103</v>
      </c>
      <c r="E360" s="2">
        <v>11</v>
      </c>
      <c r="F360" s="2">
        <v>2024</v>
      </c>
      <c r="G360" s="8" t="s">
        <v>100</v>
      </c>
      <c r="H360" s="2">
        <v>15016</v>
      </c>
      <c r="I360" s="2">
        <v>16457</v>
      </c>
      <c r="J360" s="2">
        <v>-1441</v>
      </c>
      <c r="K360" s="2">
        <v>9.6</v>
      </c>
      <c r="L360" s="2" t="s">
        <v>83</v>
      </c>
      <c r="M360">
        <f t="shared" si="35"/>
        <v>12334</v>
      </c>
      <c r="N360">
        <f t="shared" si="34"/>
        <v>11970.180938395482</v>
      </c>
      <c r="O360">
        <f t="shared" si="31"/>
        <v>1441</v>
      </c>
      <c r="P360" s="6">
        <f t="shared" si="32"/>
        <v>9.5964304741608955E-2</v>
      </c>
      <c r="Q360" s="6">
        <f t="shared" si="33"/>
        <v>0.20283824331409947</v>
      </c>
    </row>
    <row r="361" spans="1:17" x14ac:dyDescent="0.25">
      <c r="A361" s="3">
        <v>360</v>
      </c>
      <c r="B361" s="3" t="s">
        <v>30</v>
      </c>
      <c r="C361" s="3" t="s">
        <v>31</v>
      </c>
      <c r="D361" s="3" t="s">
        <v>103</v>
      </c>
      <c r="E361" s="3">
        <v>12</v>
      </c>
      <c r="F361" s="3">
        <v>2024</v>
      </c>
      <c r="G361" s="9" t="s">
        <v>101</v>
      </c>
      <c r="H361" s="3">
        <v>14342</v>
      </c>
      <c r="I361" s="3">
        <v>15175</v>
      </c>
      <c r="J361" s="3">
        <v>-833</v>
      </c>
      <c r="K361" s="3">
        <v>5.8</v>
      </c>
      <c r="L361" s="3" t="s">
        <v>78</v>
      </c>
      <c r="M361">
        <f t="shared" si="35"/>
        <v>12902</v>
      </c>
      <c r="N361">
        <f t="shared" si="34"/>
        <v>12883.926656876836</v>
      </c>
      <c r="O361">
        <f t="shared" si="31"/>
        <v>833</v>
      </c>
      <c r="P361" s="6">
        <f t="shared" si="32"/>
        <v>5.8081160228698928E-2</v>
      </c>
      <c r="Q361" s="6">
        <f t="shared" si="33"/>
        <v>0.10166457559079374</v>
      </c>
    </row>
    <row r="362" spans="1:17" x14ac:dyDescent="0.25">
      <c r="A362" s="2">
        <v>361</v>
      </c>
      <c r="B362" s="2" t="s">
        <v>34</v>
      </c>
      <c r="C362" s="2" t="s">
        <v>35</v>
      </c>
      <c r="D362" s="2" t="s">
        <v>74</v>
      </c>
      <c r="E362" s="2">
        <v>1</v>
      </c>
      <c r="F362" s="2">
        <v>2023</v>
      </c>
      <c r="G362" s="8" t="s">
        <v>75</v>
      </c>
      <c r="H362" s="2">
        <v>8821</v>
      </c>
      <c r="I362" s="2">
        <v>8156</v>
      </c>
      <c r="J362" s="2">
        <v>665</v>
      </c>
      <c r="K362" s="2">
        <v>7.5</v>
      </c>
      <c r="L362" s="2" t="s">
        <v>76</v>
      </c>
      <c r="M362">
        <f t="shared" si="35"/>
        <v>13605.333333333334</v>
      </c>
      <c r="N362">
        <f t="shared" si="34"/>
        <v>13321.348659813782</v>
      </c>
      <c r="O362">
        <f t="shared" si="31"/>
        <v>665</v>
      </c>
      <c r="P362" s="6">
        <f t="shared" si="32"/>
        <v>7.5388277973018933E-2</v>
      </c>
      <c r="Q362" s="6">
        <f t="shared" si="33"/>
        <v>0.51018576803239801</v>
      </c>
    </row>
    <row r="363" spans="1:17" x14ac:dyDescent="0.25">
      <c r="A363" s="3">
        <v>362</v>
      </c>
      <c r="B363" s="3" t="s">
        <v>34</v>
      </c>
      <c r="C363" s="3" t="s">
        <v>35</v>
      </c>
      <c r="D363" s="3" t="s">
        <v>74</v>
      </c>
      <c r="E363" s="3">
        <v>2</v>
      </c>
      <c r="F363" s="3">
        <v>2023</v>
      </c>
      <c r="G363" s="9" t="s">
        <v>77</v>
      </c>
      <c r="H363" s="3">
        <v>9394</v>
      </c>
      <c r="I363" s="3">
        <v>9717</v>
      </c>
      <c r="J363" s="3">
        <v>-323</v>
      </c>
      <c r="K363" s="3">
        <v>3.4</v>
      </c>
      <c r="L363" s="3" t="s">
        <v>83</v>
      </c>
      <c r="M363">
        <f t="shared" si="35"/>
        <v>12726.333333333334</v>
      </c>
      <c r="N363">
        <f t="shared" si="34"/>
        <v>11971.244061869646</v>
      </c>
      <c r="O363">
        <f t="shared" si="31"/>
        <v>323</v>
      </c>
      <c r="P363" s="6">
        <f t="shared" si="32"/>
        <v>3.4383649137747496E-2</v>
      </c>
      <c r="Q363" s="6">
        <f t="shared" si="33"/>
        <v>0.27435001723117369</v>
      </c>
    </row>
    <row r="364" spans="1:17" x14ac:dyDescent="0.25">
      <c r="A364" s="2">
        <v>363</v>
      </c>
      <c r="B364" s="2" t="s">
        <v>34</v>
      </c>
      <c r="C364" s="2" t="s">
        <v>35</v>
      </c>
      <c r="D364" s="2" t="s">
        <v>74</v>
      </c>
      <c r="E364" s="2">
        <v>3</v>
      </c>
      <c r="F364" s="2">
        <v>2023</v>
      </c>
      <c r="G364" s="8" t="s">
        <v>79</v>
      </c>
      <c r="H364" s="2">
        <v>10151</v>
      </c>
      <c r="I364" s="2">
        <v>10432</v>
      </c>
      <c r="J364" s="2">
        <v>-281</v>
      </c>
      <c r="K364" s="2">
        <v>2.8</v>
      </c>
      <c r="L364" s="2" t="s">
        <v>76</v>
      </c>
      <c r="M364">
        <f t="shared" si="35"/>
        <v>10852.333333333334</v>
      </c>
      <c r="N364">
        <f t="shared" si="34"/>
        <v>11198.070843308753</v>
      </c>
      <c r="O364">
        <f t="shared" si="31"/>
        <v>281</v>
      </c>
      <c r="P364" s="6">
        <f t="shared" si="32"/>
        <v>2.7682001773224312E-2</v>
      </c>
      <c r="Q364" s="6">
        <f t="shared" si="33"/>
        <v>0.10314952648101201</v>
      </c>
    </row>
    <row r="365" spans="1:17" x14ac:dyDescent="0.25">
      <c r="A365" s="3">
        <v>364</v>
      </c>
      <c r="B365" s="3" t="s">
        <v>34</v>
      </c>
      <c r="C365" s="3" t="s">
        <v>35</v>
      </c>
      <c r="D365" s="3" t="s">
        <v>74</v>
      </c>
      <c r="E365" s="3">
        <v>4</v>
      </c>
      <c r="F365" s="3">
        <v>2023</v>
      </c>
      <c r="G365" s="9" t="s">
        <v>80</v>
      </c>
      <c r="H365" s="3">
        <v>9966</v>
      </c>
      <c r="I365" s="3">
        <v>9435</v>
      </c>
      <c r="J365" s="3">
        <v>531</v>
      </c>
      <c r="K365" s="3">
        <v>5.3</v>
      </c>
      <c r="L365" s="3" t="s">
        <v>78</v>
      </c>
      <c r="M365">
        <f t="shared" si="35"/>
        <v>9455.3333333333339</v>
      </c>
      <c r="N365">
        <f t="shared" si="34"/>
        <v>10883.949590316126</v>
      </c>
      <c r="O365">
        <f t="shared" si="31"/>
        <v>531</v>
      </c>
      <c r="P365" s="6">
        <f t="shared" si="32"/>
        <v>5.3281155930162555E-2</v>
      </c>
      <c r="Q365" s="6">
        <f t="shared" si="33"/>
        <v>9.2108126662264297E-2</v>
      </c>
    </row>
    <row r="366" spans="1:17" x14ac:dyDescent="0.25">
      <c r="A366" s="2">
        <v>365</v>
      </c>
      <c r="B366" s="2" t="s">
        <v>34</v>
      </c>
      <c r="C366" s="2" t="s">
        <v>35</v>
      </c>
      <c r="D366" s="2" t="s">
        <v>74</v>
      </c>
      <c r="E366" s="2">
        <v>5</v>
      </c>
      <c r="F366" s="2">
        <v>2023</v>
      </c>
      <c r="G366" s="8" t="s">
        <v>81</v>
      </c>
      <c r="H366" s="2">
        <v>11881</v>
      </c>
      <c r="I366" s="2">
        <v>12934</v>
      </c>
      <c r="J366" s="2">
        <v>-1053</v>
      </c>
      <c r="K366" s="2">
        <v>8.9</v>
      </c>
      <c r="L366" s="2" t="s">
        <v>76</v>
      </c>
      <c r="M366">
        <f t="shared" si="35"/>
        <v>9837</v>
      </c>
      <c r="N366">
        <f t="shared" si="34"/>
        <v>10608.564713221287</v>
      </c>
      <c r="O366">
        <f t="shared" si="31"/>
        <v>1053</v>
      </c>
      <c r="P366" s="6">
        <f t="shared" si="32"/>
        <v>8.8628903290968772E-2</v>
      </c>
      <c r="Q366" s="6">
        <f t="shared" si="33"/>
        <v>0.10709833236080404</v>
      </c>
    </row>
    <row r="367" spans="1:17" x14ac:dyDescent="0.25">
      <c r="A367" s="3">
        <v>366</v>
      </c>
      <c r="B367" s="3" t="s">
        <v>34</v>
      </c>
      <c r="C367" s="3" t="s">
        <v>35</v>
      </c>
      <c r="D367" s="3" t="s">
        <v>74</v>
      </c>
      <c r="E367" s="3">
        <v>6</v>
      </c>
      <c r="F367" s="3">
        <v>2023</v>
      </c>
      <c r="G367" s="9" t="s">
        <v>82</v>
      </c>
      <c r="H367" s="3">
        <v>13305</v>
      </c>
      <c r="I367" s="3">
        <v>12563</v>
      </c>
      <c r="J367" s="3">
        <v>742</v>
      </c>
      <c r="K367" s="3">
        <v>5.6</v>
      </c>
      <c r="L367" s="3" t="s">
        <v>78</v>
      </c>
      <c r="M367">
        <f t="shared" si="35"/>
        <v>10666</v>
      </c>
      <c r="N367">
        <f t="shared" si="34"/>
        <v>10990.2952992549</v>
      </c>
      <c r="O367">
        <f t="shared" si="31"/>
        <v>742</v>
      </c>
      <c r="P367" s="6">
        <f t="shared" si="32"/>
        <v>5.57685080796693E-2</v>
      </c>
      <c r="Q367" s="6">
        <f t="shared" si="33"/>
        <v>0.17397254421233371</v>
      </c>
    </row>
    <row r="368" spans="1:17" x14ac:dyDescent="0.25">
      <c r="A368" s="2">
        <v>367</v>
      </c>
      <c r="B368" s="2" t="s">
        <v>34</v>
      </c>
      <c r="C368" s="2" t="s">
        <v>35</v>
      </c>
      <c r="D368" s="2" t="s">
        <v>74</v>
      </c>
      <c r="E368" s="2">
        <v>7</v>
      </c>
      <c r="F368" s="2">
        <v>2023</v>
      </c>
      <c r="G368" s="8" t="s">
        <v>84</v>
      </c>
      <c r="H368" s="2">
        <v>12266</v>
      </c>
      <c r="I368" s="2">
        <v>12178</v>
      </c>
      <c r="J368" s="2">
        <v>88</v>
      </c>
      <c r="K368" s="2">
        <v>0.7</v>
      </c>
      <c r="L368" s="2" t="s">
        <v>83</v>
      </c>
      <c r="M368">
        <f t="shared" si="35"/>
        <v>11717.333333333334</v>
      </c>
      <c r="N368">
        <f t="shared" si="34"/>
        <v>11684.706709478429</v>
      </c>
      <c r="O368">
        <f t="shared" si="31"/>
        <v>88</v>
      </c>
      <c r="P368" s="6">
        <f t="shared" si="32"/>
        <v>7.1743029512473504E-3</v>
      </c>
      <c r="Q368" s="6">
        <f t="shared" si="33"/>
        <v>4.7390615565104446E-2</v>
      </c>
    </row>
    <row r="369" spans="1:17" x14ac:dyDescent="0.25">
      <c r="A369" s="3">
        <v>368</v>
      </c>
      <c r="B369" s="3" t="s">
        <v>34</v>
      </c>
      <c r="C369" s="3" t="s">
        <v>35</v>
      </c>
      <c r="D369" s="3" t="s">
        <v>74</v>
      </c>
      <c r="E369" s="3">
        <v>8</v>
      </c>
      <c r="F369" s="3">
        <v>2023</v>
      </c>
      <c r="G369" s="9" t="s">
        <v>85</v>
      </c>
      <c r="H369" s="3">
        <v>11001</v>
      </c>
      <c r="I369" s="3">
        <v>10799</v>
      </c>
      <c r="J369" s="3">
        <v>202</v>
      </c>
      <c r="K369" s="3">
        <v>1.8</v>
      </c>
      <c r="L369" s="3" t="s">
        <v>78</v>
      </c>
      <c r="M369">
        <f t="shared" si="35"/>
        <v>12484</v>
      </c>
      <c r="N369">
        <f t="shared" si="34"/>
        <v>11859.0946966349</v>
      </c>
      <c r="O369">
        <f t="shared" si="31"/>
        <v>202</v>
      </c>
      <c r="P369" s="6">
        <f t="shared" si="32"/>
        <v>1.8361967093900554E-2</v>
      </c>
      <c r="Q369" s="6">
        <f t="shared" si="33"/>
        <v>7.8001517737923839E-2</v>
      </c>
    </row>
    <row r="370" spans="1:17" x14ac:dyDescent="0.25">
      <c r="A370" s="2">
        <v>369</v>
      </c>
      <c r="B370" s="2" t="s">
        <v>34</v>
      </c>
      <c r="C370" s="2" t="s">
        <v>35</v>
      </c>
      <c r="D370" s="2" t="s">
        <v>74</v>
      </c>
      <c r="E370" s="2">
        <v>9</v>
      </c>
      <c r="F370" s="2">
        <v>2023</v>
      </c>
      <c r="G370" s="8" t="s">
        <v>86</v>
      </c>
      <c r="H370" s="2">
        <v>9799</v>
      </c>
      <c r="I370" s="2">
        <v>8892</v>
      </c>
      <c r="J370" s="2">
        <v>907</v>
      </c>
      <c r="K370" s="2">
        <v>9.3000000000000007</v>
      </c>
      <c r="L370" s="2" t="s">
        <v>76</v>
      </c>
      <c r="M370">
        <f t="shared" si="35"/>
        <v>12190.666666666666</v>
      </c>
      <c r="N370">
        <f t="shared" si="34"/>
        <v>11601.66628764443</v>
      </c>
      <c r="O370">
        <f t="shared" si="31"/>
        <v>907</v>
      </c>
      <c r="P370" s="6">
        <f t="shared" si="32"/>
        <v>9.2560465353607513E-2</v>
      </c>
      <c r="Q370" s="6">
        <f t="shared" si="33"/>
        <v>0.18396431142406672</v>
      </c>
    </row>
    <row r="371" spans="1:17" x14ac:dyDescent="0.25">
      <c r="A371" s="3">
        <v>370</v>
      </c>
      <c r="B371" s="3" t="s">
        <v>34</v>
      </c>
      <c r="C371" s="3" t="s">
        <v>35</v>
      </c>
      <c r="D371" s="3" t="s">
        <v>74</v>
      </c>
      <c r="E371" s="3">
        <v>10</v>
      </c>
      <c r="F371" s="3">
        <v>2023</v>
      </c>
      <c r="G371" s="9" t="s">
        <v>87</v>
      </c>
      <c r="H371" s="3">
        <v>10985</v>
      </c>
      <c r="I371" s="3">
        <v>10402</v>
      </c>
      <c r="J371" s="3">
        <v>583</v>
      </c>
      <c r="K371" s="3">
        <v>5.3</v>
      </c>
      <c r="L371" s="3" t="s">
        <v>83</v>
      </c>
      <c r="M371">
        <f t="shared" si="35"/>
        <v>11022</v>
      </c>
      <c r="N371">
        <f t="shared" si="34"/>
        <v>11060.866401351101</v>
      </c>
      <c r="O371">
        <f t="shared" si="31"/>
        <v>583</v>
      </c>
      <c r="P371" s="6">
        <f t="shared" si="32"/>
        <v>5.3072371415566678E-2</v>
      </c>
      <c r="Q371" s="6">
        <f t="shared" si="33"/>
        <v>6.9063633455712925E-3</v>
      </c>
    </row>
    <row r="372" spans="1:17" x14ac:dyDescent="0.25">
      <c r="A372" s="2">
        <v>371</v>
      </c>
      <c r="B372" s="2" t="s">
        <v>34</v>
      </c>
      <c r="C372" s="2" t="s">
        <v>35</v>
      </c>
      <c r="D372" s="2" t="s">
        <v>74</v>
      </c>
      <c r="E372" s="2">
        <v>11</v>
      </c>
      <c r="F372" s="2">
        <v>2023</v>
      </c>
      <c r="G372" s="8" t="s">
        <v>88</v>
      </c>
      <c r="H372" s="2">
        <v>12547</v>
      </c>
      <c r="I372" s="2">
        <v>12430</v>
      </c>
      <c r="J372" s="2">
        <v>117</v>
      </c>
      <c r="K372" s="2">
        <v>0.9</v>
      </c>
      <c r="L372" s="2" t="s">
        <v>83</v>
      </c>
      <c r="M372">
        <f t="shared" si="35"/>
        <v>10595</v>
      </c>
      <c r="N372">
        <f t="shared" si="34"/>
        <v>11038.106480945771</v>
      </c>
      <c r="O372">
        <f t="shared" si="31"/>
        <v>117</v>
      </c>
      <c r="P372" s="6">
        <f t="shared" si="32"/>
        <v>9.3249382322467527E-3</v>
      </c>
      <c r="Q372" s="6">
        <f t="shared" si="33"/>
        <v>0.12025930653177881</v>
      </c>
    </row>
    <row r="373" spans="1:17" x14ac:dyDescent="0.25">
      <c r="A373" s="3">
        <v>372</v>
      </c>
      <c r="B373" s="3" t="s">
        <v>34</v>
      </c>
      <c r="C373" s="3" t="s">
        <v>35</v>
      </c>
      <c r="D373" s="3" t="s">
        <v>74</v>
      </c>
      <c r="E373" s="3">
        <v>12</v>
      </c>
      <c r="F373" s="3">
        <v>2023</v>
      </c>
      <c r="G373" s="9" t="s">
        <v>89</v>
      </c>
      <c r="H373" s="3">
        <v>15842</v>
      </c>
      <c r="I373" s="3">
        <v>16464</v>
      </c>
      <c r="J373" s="3">
        <v>-622</v>
      </c>
      <c r="K373" s="3">
        <v>3.9</v>
      </c>
      <c r="L373" s="3" t="s">
        <v>83</v>
      </c>
      <c r="M373">
        <f t="shared" si="35"/>
        <v>11110.333333333334</v>
      </c>
      <c r="N373">
        <f t="shared" si="34"/>
        <v>11490.774536662038</v>
      </c>
      <c r="O373">
        <f t="shared" si="31"/>
        <v>622</v>
      </c>
      <c r="P373" s="6">
        <f t="shared" si="32"/>
        <v>3.9262719353616971E-2</v>
      </c>
      <c r="Q373" s="6">
        <f t="shared" si="33"/>
        <v>0.27466389744590086</v>
      </c>
    </row>
    <row r="374" spans="1:17" x14ac:dyDescent="0.25">
      <c r="A374" s="2">
        <v>373</v>
      </c>
      <c r="B374" s="2" t="s">
        <v>34</v>
      </c>
      <c r="C374" s="2" t="s">
        <v>35</v>
      </c>
      <c r="D374" s="2" t="s">
        <v>74</v>
      </c>
      <c r="E374" s="2">
        <v>1</v>
      </c>
      <c r="F374" s="2">
        <v>2024</v>
      </c>
      <c r="G374" s="8" t="s">
        <v>90</v>
      </c>
      <c r="H374" s="2">
        <v>9168</v>
      </c>
      <c r="I374" s="2">
        <v>9612</v>
      </c>
      <c r="J374" s="2">
        <v>-444</v>
      </c>
      <c r="K374" s="2">
        <v>4.8</v>
      </c>
      <c r="L374" s="2" t="s">
        <v>78</v>
      </c>
      <c r="M374">
        <f t="shared" si="35"/>
        <v>13124.666666666666</v>
      </c>
      <c r="N374">
        <f t="shared" si="34"/>
        <v>12796.142175663426</v>
      </c>
      <c r="O374">
        <f t="shared" si="31"/>
        <v>444</v>
      </c>
      <c r="P374" s="6">
        <f t="shared" si="32"/>
        <v>4.8429319371727751E-2</v>
      </c>
      <c r="Q374" s="6">
        <f t="shared" si="33"/>
        <v>0.39573976610639466</v>
      </c>
    </row>
    <row r="375" spans="1:17" x14ac:dyDescent="0.25">
      <c r="A375" s="3">
        <v>374</v>
      </c>
      <c r="B375" s="3" t="s">
        <v>34</v>
      </c>
      <c r="C375" s="3" t="s">
        <v>35</v>
      </c>
      <c r="D375" s="3" t="s">
        <v>74</v>
      </c>
      <c r="E375" s="3">
        <v>2</v>
      </c>
      <c r="F375" s="3">
        <v>2024</v>
      </c>
      <c r="G375" s="9" t="s">
        <v>91</v>
      </c>
      <c r="H375" s="3">
        <v>9854</v>
      </c>
      <c r="I375" s="3">
        <v>10159</v>
      </c>
      <c r="J375" s="3">
        <v>-305</v>
      </c>
      <c r="K375" s="3">
        <v>3.1</v>
      </c>
      <c r="L375" s="3" t="s">
        <v>76</v>
      </c>
      <c r="M375">
        <f t="shared" si="35"/>
        <v>12519</v>
      </c>
      <c r="N375">
        <f t="shared" si="34"/>
        <v>11707.699522964398</v>
      </c>
      <c r="O375">
        <f t="shared" si="31"/>
        <v>305</v>
      </c>
      <c r="P375" s="6">
        <f t="shared" si="32"/>
        <v>3.095189770651512E-2</v>
      </c>
      <c r="Q375" s="6">
        <f t="shared" si="33"/>
        <v>0.18811645250298337</v>
      </c>
    </row>
    <row r="376" spans="1:17" x14ac:dyDescent="0.25">
      <c r="A376" s="2">
        <v>375</v>
      </c>
      <c r="B376" s="17" t="s">
        <v>34</v>
      </c>
      <c r="C376" s="2" t="s">
        <v>35</v>
      </c>
      <c r="D376" s="2" t="s">
        <v>74</v>
      </c>
      <c r="E376" s="2">
        <v>3</v>
      </c>
      <c r="F376" s="2">
        <v>2024</v>
      </c>
      <c r="G376" s="8" t="s">
        <v>92</v>
      </c>
      <c r="H376" s="2">
        <v>10740</v>
      </c>
      <c r="I376" s="2">
        <v>11683</v>
      </c>
      <c r="J376" s="2">
        <v>-943</v>
      </c>
      <c r="K376" s="2">
        <v>8.8000000000000007</v>
      </c>
      <c r="L376" s="2" t="s">
        <v>76</v>
      </c>
      <c r="M376">
        <f t="shared" si="35"/>
        <v>11621.333333333334</v>
      </c>
      <c r="N376">
        <f t="shared" si="34"/>
        <v>11151.589666075077</v>
      </c>
      <c r="O376">
        <f t="shared" si="31"/>
        <v>943</v>
      </c>
      <c r="P376" s="6">
        <f t="shared" si="32"/>
        <v>8.7802607076350098E-2</v>
      </c>
      <c r="Q376" s="6">
        <f t="shared" si="33"/>
        <v>3.8323060155966183E-2</v>
      </c>
    </row>
    <row r="377" spans="1:17" x14ac:dyDescent="0.25">
      <c r="A377" s="3">
        <v>376</v>
      </c>
      <c r="B377" s="3" t="s">
        <v>34</v>
      </c>
      <c r="C377" s="3" t="s">
        <v>35</v>
      </c>
      <c r="D377" s="3" t="s">
        <v>74</v>
      </c>
      <c r="E377" s="3">
        <v>4</v>
      </c>
      <c r="F377" s="3">
        <v>2024</v>
      </c>
      <c r="G377" s="9" t="s">
        <v>93</v>
      </c>
      <c r="H377" s="3">
        <v>9766</v>
      </c>
      <c r="I377" s="3">
        <v>9513</v>
      </c>
      <c r="J377" s="3">
        <v>253</v>
      </c>
      <c r="K377" s="3">
        <v>2.6</v>
      </c>
      <c r="L377" s="3" t="s">
        <v>76</v>
      </c>
      <c r="M377">
        <f t="shared" si="35"/>
        <v>9920.6666666666661</v>
      </c>
      <c r="N377">
        <f t="shared" si="34"/>
        <v>11028.112766252554</v>
      </c>
      <c r="O377">
        <f t="shared" si="31"/>
        <v>253</v>
      </c>
      <c r="P377" s="6">
        <f t="shared" si="32"/>
        <v>2.5906205201720253E-2</v>
      </c>
      <c r="Q377" s="6">
        <f t="shared" si="33"/>
        <v>0.12923538462549192</v>
      </c>
    </row>
    <row r="378" spans="1:17" x14ac:dyDescent="0.25">
      <c r="A378" s="2">
        <v>377</v>
      </c>
      <c r="B378" s="2" t="s">
        <v>34</v>
      </c>
      <c r="C378" s="2" t="s">
        <v>35</v>
      </c>
      <c r="D378" s="2" t="s">
        <v>74</v>
      </c>
      <c r="E378" s="2">
        <v>5</v>
      </c>
      <c r="F378" s="2">
        <v>2024</v>
      </c>
      <c r="G378" s="8" t="s">
        <v>94</v>
      </c>
      <c r="H378" s="2">
        <v>11396</v>
      </c>
      <c r="I378" s="2">
        <v>10794</v>
      </c>
      <c r="J378" s="2">
        <v>602</v>
      </c>
      <c r="K378" s="2">
        <v>5.3</v>
      </c>
      <c r="L378" s="2" t="s">
        <v>76</v>
      </c>
      <c r="M378">
        <f t="shared" si="35"/>
        <v>10120</v>
      </c>
      <c r="N378">
        <f t="shared" si="34"/>
        <v>10649.478936376787</v>
      </c>
      <c r="O378">
        <f t="shared" si="31"/>
        <v>602</v>
      </c>
      <c r="P378" s="6">
        <f t="shared" si="32"/>
        <v>5.2825552825552825E-2</v>
      </c>
      <c r="Q378" s="6">
        <f t="shared" si="33"/>
        <v>6.5507288840225802E-2</v>
      </c>
    </row>
    <row r="379" spans="1:17" x14ac:dyDescent="0.25">
      <c r="A379" s="3">
        <v>378</v>
      </c>
      <c r="B379" s="3" t="s">
        <v>34</v>
      </c>
      <c r="C379" s="3" t="s">
        <v>35</v>
      </c>
      <c r="D379" s="3" t="s">
        <v>74</v>
      </c>
      <c r="E379" s="3">
        <v>6</v>
      </c>
      <c r="F379" s="3">
        <v>2024</v>
      </c>
      <c r="G379" s="9" t="s">
        <v>95</v>
      </c>
      <c r="H379" s="3">
        <v>10936</v>
      </c>
      <c r="I379" s="3">
        <v>11342</v>
      </c>
      <c r="J379" s="3">
        <v>-406</v>
      </c>
      <c r="K379" s="3">
        <v>3.7</v>
      </c>
      <c r="L379" s="3" t="s">
        <v>83</v>
      </c>
      <c r="M379">
        <f t="shared" si="35"/>
        <v>10634</v>
      </c>
      <c r="N379">
        <f t="shared" si="34"/>
        <v>10873.43525546375</v>
      </c>
      <c r="O379">
        <f t="shared" si="31"/>
        <v>406</v>
      </c>
      <c r="P379" s="6">
        <f t="shared" si="32"/>
        <v>3.7125091441111924E-2</v>
      </c>
      <c r="Q379" s="6">
        <f t="shared" si="33"/>
        <v>5.720989807630774E-3</v>
      </c>
    </row>
    <row r="380" spans="1:17" x14ac:dyDescent="0.25">
      <c r="A380" s="2">
        <v>379</v>
      </c>
      <c r="B380" s="2" t="s">
        <v>34</v>
      </c>
      <c r="C380" s="2" t="s">
        <v>35</v>
      </c>
      <c r="D380" s="2" t="s">
        <v>74</v>
      </c>
      <c r="E380" s="2">
        <v>7</v>
      </c>
      <c r="F380" s="2">
        <v>2024</v>
      </c>
      <c r="G380" s="8" t="s">
        <v>96</v>
      </c>
      <c r="H380" s="2">
        <v>13025</v>
      </c>
      <c r="I380" s="2">
        <v>13402</v>
      </c>
      <c r="J380" s="2">
        <v>-377</v>
      </c>
      <c r="K380" s="2">
        <v>2.9</v>
      </c>
      <c r="L380" s="2" t="s">
        <v>78</v>
      </c>
      <c r="M380">
        <f t="shared" si="35"/>
        <v>10699.333333333334</v>
      </c>
      <c r="N380">
        <f t="shared" si="34"/>
        <v>10892.204678824624</v>
      </c>
      <c r="O380">
        <f t="shared" si="31"/>
        <v>377</v>
      </c>
      <c r="P380" s="6">
        <f t="shared" si="32"/>
        <v>2.8944337811900193E-2</v>
      </c>
      <c r="Q380" s="6">
        <f t="shared" si="33"/>
        <v>0.1637462818560749</v>
      </c>
    </row>
    <row r="381" spans="1:17" x14ac:dyDescent="0.25">
      <c r="A381" s="3">
        <v>380</v>
      </c>
      <c r="B381" s="3" t="s">
        <v>34</v>
      </c>
      <c r="C381" s="3" t="s">
        <v>35</v>
      </c>
      <c r="D381" s="3" t="s">
        <v>74</v>
      </c>
      <c r="E381" s="3">
        <v>8</v>
      </c>
      <c r="F381" s="3">
        <v>2024</v>
      </c>
      <c r="G381" s="9" t="s">
        <v>97</v>
      </c>
      <c r="H381" s="3">
        <v>11267</v>
      </c>
      <c r="I381" s="3">
        <v>10568</v>
      </c>
      <c r="J381" s="3">
        <v>699</v>
      </c>
      <c r="K381" s="3">
        <v>6.2</v>
      </c>
      <c r="L381" s="3" t="s">
        <v>78</v>
      </c>
      <c r="M381">
        <f t="shared" si="35"/>
        <v>11785.666666666666</v>
      </c>
      <c r="N381">
        <f t="shared" si="34"/>
        <v>11532.043275177237</v>
      </c>
      <c r="O381">
        <f t="shared" si="31"/>
        <v>699</v>
      </c>
      <c r="P381" s="6">
        <f t="shared" si="32"/>
        <v>6.2039584627673734E-2</v>
      </c>
      <c r="Q381" s="6">
        <f t="shared" si="33"/>
        <v>2.3523855079190279E-2</v>
      </c>
    </row>
    <row r="382" spans="1:17" x14ac:dyDescent="0.25">
      <c r="A382" s="2">
        <v>381</v>
      </c>
      <c r="B382" s="2" t="s">
        <v>34</v>
      </c>
      <c r="C382" s="2" t="s">
        <v>35</v>
      </c>
      <c r="D382" s="2" t="s">
        <v>74</v>
      </c>
      <c r="E382" s="2">
        <v>9</v>
      </c>
      <c r="F382" s="2">
        <v>2024</v>
      </c>
      <c r="G382" s="8" t="s">
        <v>98</v>
      </c>
      <c r="H382" s="2">
        <v>12185</v>
      </c>
      <c r="I382" s="2">
        <v>12975</v>
      </c>
      <c r="J382" s="2">
        <v>-790</v>
      </c>
      <c r="K382" s="2">
        <v>6.5</v>
      </c>
      <c r="L382" s="2" t="s">
        <v>78</v>
      </c>
      <c r="M382">
        <f t="shared" si="35"/>
        <v>11742.666666666666</v>
      </c>
      <c r="N382">
        <f t="shared" si="34"/>
        <v>11452.530292624066</v>
      </c>
      <c r="O382">
        <f t="shared" si="31"/>
        <v>790</v>
      </c>
      <c r="P382" s="6">
        <f t="shared" si="32"/>
        <v>6.4833812064013133E-2</v>
      </c>
      <c r="Q382" s="6">
        <f t="shared" si="33"/>
        <v>6.0112409304549398E-2</v>
      </c>
    </row>
    <row r="383" spans="1:17" x14ac:dyDescent="0.25">
      <c r="A383" s="3">
        <v>382</v>
      </c>
      <c r="B383" s="3" t="s">
        <v>34</v>
      </c>
      <c r="C383" s="3" t="s">
        <v>35</v>
      </c>
      <c r="D383" s="3" t="s">
        <v>74</v>
      </c>
      <c r="E383" s="3">
        <v>10</v>
      </c>
      <c r="F383" s="3">
        <v>2024</v>
      </c>
      <c r="G383" s="9" t="s">
        <v>99</v>
      </c>
      <c r="H383" s="3">
        <v>12572</v>
      </c>
      <c r="I383" s="3">
        <v>12928</v>
      </c>
      <c r="J383" s="3">
        <v>-356</v>
      </c>
      <c r="K383" s="3">
        <v>2.8</v>
      </c>
      <c r="L383" s="3" t="s">
        <v>83</v>
      </c>
      <c r="M383">
        <f t="shared" si="35"/>
        <v>12159</v>
      </c>
      <c r="N383">
        <f t="shared" si="34"/>
        <v>11672.271204836845</v>
      </c>
      <c r="O383">
        <f t="shared" si="31"/>
        <v>356</v>
      </c>
      <c r="P383" s="6">
        <f t="shared" si="32"/>
        <v>2.8316894686605153E-2</v>
      </c>
      <c r="Q383" s="6">
        <f t="shared" si="33"/>
        <v>7.1566082975115741E-2</v>
      </c>
    </row>
    <row r="384" spans="1:17" x14ac:dyDescent="0.25">
      <c r="A384" s="2">
        <v>383</v>
      </c>
      <c r="B384" s="2" t="s">
        <v>34</v>
      </c>
      <c r="C384" s="2" t="s">
        <v>35</v>
      </c>
      <c r="D384" s="2" t="s">
        <v>74</v>
      </c>
      <c r="E384" s="2">
        <v>11</v>
      </c>
      <c r="F384" s="2">
        <v>2024</v>
      </c>
      <c r="G384" s="8" t="s">
        <v>100</v>
      </c>
      <c r="H384" s="2">
        <v>15304</v>
      </c>
      <c r="I384" s="2">
        <v>13928</v>
      </c>
      <c r="J384" s="2">
        <v>1376</v>
      </c>
      <c r="K384" s="2">
        <v>9</v>
      </c>
      <c r="L384" s="2" t="s">
        <v>76</v>
      </c>
      <c r="M384">
        <f t="shared" si="35"/>
        <v>12008</v>
      </c>
      <c r="N384">
        <f t="shared" si="34"/>
        <v>11942.189843385791</v>
      </c>
      <c r="O384">
        <f t="shared" si="31"/>
        <v>1376</v>
      </c>
      <c r="P384" s="6">
        <f t="shared" si="32"/>
        <v>8.9911134343962362E-2</v>
      </c>
      <c r="Q384" s="6">
        <f t="shared" si="33"/>
        <v>0.21966872429523057</v>
      </c>
    </row>
    <row r="385" spans="1:17" x14ac:dyDescent="0.25">
      <c r="A385" s="3">
        <v>384</v>
      </c>
      <c r="B385" s="3" t="s">
        <v>34</v>
      </c>
      <c r="C385" s="3" t="s">
        <v>35</v>
      </c>
      <c r="D385" s="3" t="s">
        <v>74</v>
      </c>
      <c r="E385" s="3">
        <v>12</v>
      </c>
      <c r="F385" s="3">
        <v>2024</v>
      </c>
      <c r="G385" s="9" t="s">
        <v>101</v>
      </c>
      <c r="H385" s="3">
        <v>13419</v>
      </c>
      <c r="I385" s="3">
        <v>12415</v>
      </c>
      <c r="J385" s="3">
        <v>1004</v>
      </c>
      <c r="K385" s="3">
        <v>7.5</v>
      </c>
      <c r="L385" s="3" t="s">
        <v>83</v>
      </c>
      <c r="M385">
        <f t="shared" si="35"/>
        <v>13353.666666666666</v>
      </c>
      <c r="N385">
        <f t="shared" si="34"/>
        <v>12950.732890370055</v>
      </c>
      <c r="O385">
        <f t="shared" si="31"/>
        <v>1004</v>
      </c>
      <c r="P385" s="6">
        <f t="shared" si="32"/>
        <v>7.4819286086891715E-2</v>
      </c>
      <c r="Q385" s="6">
        <f t="shared" si="33"/>
        <v>3.4895827530363327E-2</v>
      </c>
    </row>
    <row r="386" spans="1:17" x14ac:dyDescent="0.25">
      <c r="A386" s="2">
        <v>385</v>
      </c>
      <c r="B386" s="2" t="s">
        <v>34</v>
      </c>
      <c r="C386" s="2" t="s">
        <v>35</v>
      </c>
      <c r="D386" s="2" t="s">
        <v>102</v>
      </c>
      <c r="E386" s="2">
        <v>1</v>
      </c>
      <c r="F386" s="2">
        <v>2023</v>
      </c>
      <c r="G386" s="8" t="s">
        <v>75</v>
      </c>
      <c r="H386" s="2">
        <v>7385</v>
      </c>
      <c r="I386" s="2">
        <v>7872</v>
      </c>
      <c r="J386" s="2">
        <v>-487</v>
      </c>
      <c r="K386" s="2">
        <v>6.6</v>
      </c>
      <c r="L386" s="2" t="s">
        <v>83</v>
      </c>
      <c r="M386">
        <f t="shared" si="35"/>
        <v>13765</v>
      </c>
      <c r="N386">
        <f t="shared" si="34"/>
        <v>13091.213023259039</v>
      </c>
      <c r="O386">
        <f t="shared" si="31"/>
        <v>487</v>
      </c>
      <c r="P386" s="6">
        <f t="shared" si="32"/>
        <v>6.5944482058226131E-2</v>
      </c>
      <c r="Q386" s="6">
        <f t="shared" si="33"/>
        <v>0.77267610335261194</v>
      </c>
    </row>
    <row r="387" spans="1:17" x14ac:dyDescent="0.25">
      <c r="A387" s="3">
        <v>386</v>
      </c>
      <c r="B387" s="3" t="s">
        <v>34</v>
      </c>
      <c r="C387" s="3" t="s">
        <v>35</v>
      </c>
      <c r="D387" s="3" t="s">
        <v>102</v>
      </c>
      <c r="E387" s="3">
        <v>2</v>
      </c>
      <c r="F387" s="3">
        <v>2023</v>
      </c>
      <c r="G387" s="9" t="s">
        <v>77</v>
      </c>
      <c r="H387" s="3">
        <v>7128</v>
      </c>
      <c r="I387" s="3">
        <v>6723</v>
      </c>
      <c r="J387" s="3">
        <v>405</v>
      </c>
      <c r="K387" s="3">
        <v>5.7</v>
      </c>
      <c r="L387" s="3" t="s">
        <v>78</v>
      </c>
      <c r="M387">
        <f t="shared" si="35"/>
        <v>12036</v>
      </c>
      <c r="N387">
        <f t="shared" si="34"/>
        <v>11379.349116281326</v>
      </c>
      <c r="O387">
        <f t="shared" ref="O387:O450" si="36">ABS(H387-I387)</f>
        <v>405</v>
      </c>
      <c r="P387" s="6">
        <f t="shared" ref="P387:P450" si="37">ABS(O387)/H387</f>
        <v>5.6818181818181816E-2</v>
      </c>
      <c r="Q387" s="6">
        <f t="shared" ref="Q387:Q450" si="38">ABS((H387-N387))/H387</f>
        <v>0.59642944953441723</v>
      </c>
    </row>
    <row r="388" spans="1:17" x14ac:dyDescent="0.25">
      <c r="A388" s="2">
        <v>387</v>
      </c>
      <c r="B388" s="2" t="s">
        <v>34</v>
      </c>
      <c r="C388" s="2" t="s">
        <v>35</v>
      </c>
      <c r="D388" s="2" t="s">
        <v>102</v>
      </c>
      <c r="E388" s="2">
        <v>3</v>
      </c>
      <c r="F388" s="2">
        <v>2023</v>
      </c>
      <c r="G388" s="8" t="s">
        <v>79</v>
      </c>
      <c r="H388" s="2">
        <v>8517</v>
      </c>
      <c r="I388" s="2">
        <v>7916</v>
      </c>
      <c r="J388" s="2">
        <v>601</v>
      </c>
      <c r="K388" s="2">
        <v>7.1</v>
      </c>
      <c r="L388" s="2" t="s">
        <v>83</v>
      </c>
      <c r="M388">
        <f t="shared" si="35"/>
        <v>9310.6666666666661</v>
      </c>
      <c r="N388">
        <f t="shared" ref="N388:N451" si="39">0.3*H387+(0.7*N387)</f>
        <v>10103.944381396928</v>
      </c>
      <c r="O388">
        <f t="shared" si="36"/>
        <v>601</v>
      </c>
      <c r="P388" s="6">
        <f t="shared" si="37"/>
        <v>7.0564752847246684E-2</v>
      </c>
      <c r="Q388" s="6">
        <f t="shared" si="38"/>
        <v>0.18632668561664065</v>
      </c>
    </row>
    <row r="389" spans="1:17" x14ac:dyDescent="0.25">
      <c r="A389" s="3">
        <v>388</v>
      </c>
      <c r="B389" s="3" t="s">
        <v>34</v>
      </c>
      <c r="C389" s="3" t="s">
        <v>35</v>
      </c>
      <c r="D389" s="3" t="s">
        <v>102</v>
      </c>
      <c r="E389" s="3">
        <v>4</v>
      </c>
      <c r="F389" s="3">
        <v>2023</v>
      </c>
      <c r="G389" s="9" t="s">
        <v>80</v>
      </c>
      <c r="H389" s="3">
        <v>8234</v>
      </c>
      <c r="I389" s="3">
        <v>8824</v>
      </c>
      <c r="J389" s="3">
        <v>-590</v>
      </c>
      <c r="K389" s="3">
        <v>7.2</v>
      </c>
      <c r="L389" s="3" t="s">
        <v>78</v>
      </c>
      <c r="M389">
        <f t="shared" si="35"/>
        <v>7676.666666666667</v>
      </c>
      <c r="N389">
        <f t="shared" si="39"/>
        <v>9627.86106697785</v>
      </c>
      <c r="O389">
        <f t="shared" si="36"/>
        <v>590</v>
      </c>
      <c r="P389" s="6">
        <f t="shared" si="37"/>
        <v>7.1654117075540438E-2</v>
      </c>
      <c r="Q389" s="6">
        <f t="shared" si="38"/>
        <v>0.16928115945808234</v>
      </c>
    </row>
    <row r="390" spans="1:17" x14ac:dyDescent="0.25">
      <c r="A390" s="2">
        <v>389</v>
      </c>
      <c r="B390" s="2" t="s">
        <v>34</v>
      </c>
      <c r="C390" s="2" t="s">
        <v>35</v>
      </c>
      <c r="D390" s="2" t="s">
        <v>102</v>
      </c>
      <c r="E390" s="2">
        <v>5</v>
      </c>
      <c r="F390" s="2">
        <v>2023</v>
      </c>
      <c r="G390" s="8" t="s">
        <v>81</v>
      </c>
      <c r="H390" s="2">
        <v>10966</v>
      </c>
      <c r="I390" s="2">
        <v>11054</v>
      </c>
      <c r="J390" s="2">
        <v>-88</v>
      </c>
      <c r="K390" s="2">
        <v>0.8</v>
      </c>
      <c r="L390" s="2" t="s">
        <v>78</v>
      </c>
      <c r="M390">
        <f t="shared" ref="M390:M453" si="40">AVERAGE(H387:H389)</f>
        <v>7959.666666666667</v>
      </c>
      <c r="N390">
        <f t="shared" si="39"/>
        <v>9209.7027468844935</v>
      </c>
      <c r="O390">
        <f t="shared" si="36"/>
        <v>88</v>
      </c>
      <c r="P390" s="6">
        <f t="shared" si="37"/>
        <v>8.0248039394492064E-3</v>
      </c>
      <c r="Q390" s="6">
        <f t="shared" si="38"/>
        <v>0.16015842176869474</v>
      </c>
    </row>
    <row r="391" spans="1:17" x14ac:dyDescent="0.25">
      <c r="A391" s="3">
        <v>390</v>
      </c>
      <c r="B391" s="3" t="s">
        <v>34</v>
      </c>
      <c r="C391" s="3" t="s">
        <v>35</v>
      </c>
      <c r="D391" s="3" t="s">
        <v>102</v>
      </c>
      <c r="E391" s="3">
        <v>6</v>
      </c>
      <c r="F391" s="3">
        <v>2023</v>
      </c>
      <c r="G391" s="9" t="s">
        <v>82</v>
      </c>
      <c r="H391" s="3">
        <v>9322</v>
      </c>
      <c r="I391" s="3">
        <v>10005</v>
      </c>
      <c r="J391" s="3">
        <v>-683</v>
      </c>
      <c r="K391" s="3">
        <v>7.3</v>
      </c>
      <c r="L391" s="3" t="s">
        <v>78</v>
      </c>
      <c r="M391">
        <f t="shared" si="40"/>
        <v>9239</v>
      </c>
      <c r="N391">
        <f t="shared" si="39"/>
        <v>9736.5919228191451</v>
      </c>
      <c r="O391">
        <f t="shared" si="36"/>
        <v>683</v>
      </c>
      <c r="P391" s="6">
        <f t="shared" si="37"/>
        <v>7.3267539154687839E-2</v>
      </c>
      <c r="Q391" s="6">
        <f t="shared" si="38"/>
        <v>4.4474567991755538E-2</v>
      </c>
    </row>
    <row r="392" spans="1:17" x14ac:dyDescent="0.25">
      <c r="A392" s="2">
        <v>391</v>
      </c>
      <c r="B392" s="2" t="s">
        <v>34</v>
      </c>
      <c r="C392" s="2" t="s">
        <v>35</v>
      </c>
      <c r="D392" s="2" t="s">
        <v>102</v>
      </c>
      <c r="E392" s="2">
        <v>7</v>
      </c>
      <c r="F392" s="2">
        <v>2023</v>
      </c>
      <c r="G392" s="8" t="s">
        <v>84</v>
      </c>
      <c r="H392" s="2">
        <v>8922</v>
      </c>
      <c r="I392" s="2">
        <v>9439</v>
      </c>
      <c r="J392" s="2">
        <v>-517</v>
      </c>
      <c r="K392" s="2">
        <v>5.8</v>
      </c>
      <c r="L392" s="2" t="s">
        <v>78</v>
      </c>
      <c r="M392">
        <f t="shared" si="40"/>
        <v>9507.3333333333339</v>
      </c>
      <c r="N392">
        <f t="shared" si="39"/>
        <v>9612.2143459734016</v>
      </c>
      <c r="O392">
        <f t="shared" si="36"/>
        <v>517</v>
      </c>
      <c r="P392" s="6">
        <f t="shared" si="37"/>
        <v>5.7946648733467832E-2</v>
      </c>
      <c r="Q392" s="6">
        <f t="shared" si="38"/>
        <v>7.7360944404102391E-2</v>
      </c>
    </row>
    <row r="393" spans="1:17" x14ac:dyDescent="0.25">
      <c r="A393" s="3">
        <v>392</v>
      </c>
      <c r="B393" s="3" t="s">
        <v>34</v>
      </c>
      <c r="C393" s="3" t="s">
        <v>35</v>
      </c>
      <c r="D393" s="3" t="s">
        <v>102</v>
      </c>
      <c r="E393" s="3">
        <v>8</v>
      </c>
      <c r="F393" s="3">
        <v>2023</v>
      </c>
      <c r="G393" s="9" t="s">
        <v>85</v>
      </c>
      <c r="H393" s="3">
        <v>10026</v>
      </c>
      <c r="I393" s="3">
        <v>9055</v>
      </c>
      <c r="J393" s="3">
        <v>971</v>
      </c>
      <c r="K393" s="3">
        <v>9.6999999999999993</v>
      </c>
      <c r="L393" s="3" t="s">
        <v>76</v>
      </c>
      <c r="M393">
        <f t="shared" si="40"/>
        <v>9736.6666666666661</v>
      </c>
      <c r="N393">
        <f t="shared" si="39"/>
        <v>9405.1500421813798</v>
      </c>
      <c r="O393">
        <f t="shared" si="36"/>
        <v>971</v>
      </c>
      <c r="P393" s="6">
        <f t="shared" si="37"/>
        <v>9.684819469379613E-2</v>
      </c>
      <c r="Q393" s="6">
        <f t="shared" si="38"/>
        <v>6.1923993399024553E-2</v>
      </c>
    </row>
    <row r="394" spans="1:17" x14ac:dyDescent="0.25">
      <c r="A394" s="2">
        <v>393</v>
      </c>
      <c r="B394" s="2" t="s">
        <v>34</v>
      </c>
      <c r="C394" s="2" t="s">
        <v>35</v>
      </c>
      <c r="D394" s="2" t="s">
        <v>102</v>
      </c>
      <c r="E394" s="2">
        <v>9</v>
      </c>
      <c r="F394" s="2">
        <v>2023</v>
      </c>
      <c r="G394" s="8" t="s">
        <v>86</v>
      </c>
      <c r="H394" s="2">
        <v>8345</v>
      </c>
      <c r="I394" s="2">
        <v>8748</v>
      </c>
      <c r="J394" s="2">
        <v>-403</v>
      </c>
      <c r="K394" s="2">
        <v>4.8</v>
      </c>
      <c r="L394" s="2" t="s">
        <v>83</v>
      </c>
      <c r="M394">
        <f t="shared" si="40"/>
        <v>9423.3333333333339</v>
      </c>
      <c r="N394">
        <f t="shared" si="39"/>
        <v>9591.4050295269644</v>
      </c>
      <c r="O394">
        <f t="shared" si="36"/>
        <v>403</v>
      </c>
      <c r="P394" s="6">
        <f t="shared" si="37"/>
        <v>4.829239065308568E-2</v>
      </c>
      <c r="Q394" s="6">
        <f t="shared" si="38"/>
        <v>0.14935950024289568</v>
      </c>
    </row>
    <row r="395" spans="1:17" x14ac:dyDescent="0.25">
      <c r="A395" s="3">
        <v>394</v>
      </c>
      <c r="B395" s="3" t="s">
        <v>34</v>
      </c>
      <c r="C395" s="3" t="s">
        <v>35</v>
      </c>
      <c r="D395" s="3" t="s">
        <v>102</v>
      </c>
      <c r="E395" s="3">
        <v>10</v>
      </c>
      <c r="F395" s="3">
        <v>2023</v>
      </c>
      <c r="G395" s="9" t="s">
        <v>87</v>
      </c>
      <c r="H395" s="3">
        <v>9331</v>
      </c>
      <c r="I395" s="3">
        <v>8516</v>
      </c>
      <c r="J395" s="3">
        <v>815</v>
      </c>
      <c r="K395" s="3">
        <v>8.6999999999999993</v>
      </c>
      <c r="L395" s="3" t="s">
        <v>76</v>
      </c>
      <c r="M395">
        <f t="shared" si="40"/>
        <v>9097.6666666666661</v>
      </c>
      <c r="N395">
        <f t="shared" si="39"/>
        <v>9217.4835206688749</v>
      </c>
      <c r="O395">
        <f t="shared" si="36"/>
        <v>815</v>
      </c>
      <c r="P395" s="6">
        <f t="shared" si="37"/>
        <v>8.7343264387525446E-2</v>
      </c>
      <c r="Q395" s="6">
        <f t="shared" si="38"/>
        <v>1.2165521308661996E-2</v>
      </c>
    </row>
    <row r="396" spans="1:17" x14ac:dyDescent="0.25">
      <c r="A396" s="2">
        <v>395</v>
      </c>
      <c r="B396" s="2" t="s">
        <v>34</v>
      </c>
      <c r="C396" s="2" t="s">
        <v>35</v>
      </c>
      <c r="D396" s="2" t="s">
        <v>102</v>
      </c>
      <c r="E396" s="2">
        <v>11</v>
      </c>
      <c r="F396" s="2">
        <v>2023</v>
      </c>
      <c r="G396" s="8" t="s">
        <v>88</v>
      </c>
      <c r="H396" s="2">
        <v>12467</v>
      </c>
      <c r="I396" s="2">
        <v>12500</v>
      </c>
      <c r="J396" s="2">
        <v>-33</v>
      </c>
      <c r="K396" s="2">
        <v>0.3</v>
      </c>
      <c r="L396" s="2" t="s">
        <v>78</v>
      </c>
      <c r="M396">
        <f t="shared" si="40"/>
        <v>9234</v>
      </c>
      <c r="N396">
        <f t="shared" si="39"/>
        <v>9251.5384644682126</v>
      </c>
      <c r="O396">
        <f t="shared" si="36"/>
        <v>33</v>
      </c>
      <c r="P396" s="6">
        <f t="shared" si="37"/>
        <v>2.6469880484479027E-3</v>
      </c>
      <c r="Q396" s="6">
        <f t="shared" si="38"/>
        <v>0.25791782590292672</v>
      </c>
    </row>
    <row r="397" spans="1:17" x14ac:dyDescent="0.25">
      <c r="A397" s="3">
        <v>396</v>
      </c>
      <c r="B397" s="3" t="s">
        <v>34</v>
      </c>
      <c r="C397" s="3" t="s">
        <v>35</v>
      </c>
      <c r="D397" s="3" t="s">
        <v>102</v>
      </c>
      <c r="E397" s="3">
        <v>12</v>
      </c>
      <c r="F397" s="3">
        <v>2023</v>
      </c>
      <c r="G397" s="9" t="s">
        <v>89</v>
      </c>
      <c r="H397" s="3">
        <v>12014</v>
      </c>
      <c r="I397" s="3">
        <v>11344</v>
      </c>
      <c r="J397" s="3">
        <v>670</v>
      </c>
      <c r="K397" s="3">
        <v>5.6</v>
      </c>
      <c r="L397" s="3" t="s">
        <v>83</v>
      </c>
      <c r="M397">
        <f t="shared" si="40"/>
        <v>10047.666666666666</v>
      </c>
      <c r="N397">
        <f t="shared" si="39"/>
        <v>10216.176925127749</v>
      </c>
      <c r="O397">
        <f t="shared" si="36"/>
        <v>670</v>
      </c>
      <c r="P397" s="6">
        <f t="shared" si="37"/>
        <v>5.5768270351256866E-2</v>
      </c>
      <c r="Q397" s="6">
        <f t="shared" si="38"/>
        <v>0.14964400490030388</v>
      </c>
    </row>
    <row r="398" spans="1:17" x14ac:dyDescent="0.25">
      <c r="A398" s="2">
        <v>397</v>
      </c>
      <c r="B398" s="2" t="s">
        <v>34</v>
      </c>
      <c r="C398" s="2" t="s">
        <v>35</v>
      </c>
      <c r="D398" s="2" t="s">
        <v>102</v>
      </c>
      <c r="E398" s="2">
        <v>1</v>
      </c>
      <c r="F398" s="2">
        <v>2024</v>
      </c>
      <c r="G398" s="8" t="s">
        <v>90</v>
      </c>
      <c r="H398" s="2">
        <v>7076</v>
      </c>
      <c r="I398" s="2">
        <v>7476</v>
      </c>
      <c r="J398" s="2">
        <v>-400</v>
      </c>
      <c r="K398" s="2">
        <v>5.7</v>
      </c>
      <c r="L398" s="2" t="s">
        <v>83</v>
      </c>
      <c r="M398">
        <f t="shared" si="40"/>
        <v>11270.666666666666</v>
      </c>
      <c r="N398">
        <f t="shared" si="39"/>
        <v>10755.523847589424</v>
      </c>
      <c r="O398">
        <f t="shared" si="36"/>
        <v>400</v>
      </c>
      <c r="P398" s="6">
        <f t="shared" si="37"/>
        <v>5.652911249293386E-2</v>
      </c>
      <c r="Q398" s="6">
        <f t="shared" si="38"/>
        <v>0.52000054375203841</v>
      </c>
    </row>
    <row r="399" spans="1:17" x14ac:dyDescent="0.25">
      <c r="A399" s="3">
        <v>398</v>
      </c>
      <c r="B399" s="3" t="s">
        <v>34</v>
      </c>
      <c r="C399" s="3" t="s">
        <v>35</v>
      </c>
      <c r="D399" s="3" t="s">
        <v>102</v>
      </c>
      <c r="E399" s="3">
        <v>2</v>
      </c>
      <c r="F399" s="3">
        <v>2024</v>
      </c>
      <c r="G399" s="9" t="s">
        <v>91</v>
      </c>
      <c r="H399" s="3">
        <v>7706</v>
      </c>
      <c r="I399" s="3">
        <v>7641</v>
      </c>
      <c r="J399" s="3">
        <v>65</v>
      </c>
      <c r="K399" s="3">
        <v>0.8</v>
      </c>
      <c r="L399" s="3" t="s">
        <v>78</v>
      </c>
      <c r="M399">
        <f t="shared" si="40"/>
        <v>10519</v>
      </c>
      <c r="N399">
        <f t="shared" si="39"/>
        <v>9651.6666933125962</v>
      </c>
      <c r="O399">
        <f t="shared" si="36"/>
        <v>65</v>
      </c>
      <c r="P399" s="6">
        <f t="shared" si="37"/>
        <v>8.434985725408772E-3</v>
      </c>
      <c r="Q399" s="6">
        <f t="shared" si="38"/>
        <v>0.2524872428383852</v>
      </c>
    </row>
    <row r="400" spans="1:17" x14ac:dyDescent="0.25">
      <c r="A400" s="2">
        <v>399</v>
      </c>
      <c r="B400" s="2" t="s">
        <v>34</v>
      </c>
      <c r="C400" s="2" t="s">
        <v>35</v>
      </c>
      <c r="D400" s="2" t="s">
        <v>102</v>
      </c>
      <c r="E400" s="2">
        <v>3</v>
      </c>
      <c r="F400" s="2">
        <v>2024</v>
      </c>
      <c r="G400" s="8" t="s">
        <v>92</v>
      </c>
      <c r="H400" s="2">
        <v>7946</v>
      </c>
      <c r="I400" s="2">
        <v>7912</v>
      </c>
      <c r="J400" s="2">
        <v>34</v>
      </c>
      <c r="K400" s="2">
        <v>0.4</v>
      </c>
      <c r="L400" s="2" t="s">
        <v>76</v>
      </c>
      <c r="M400">
        <f t="shared" si="40"/>
        <v>8932</v>
      </c>
      <c r="N400">
        <f t="shared" si="39"/>
        <v>9067.9666853188173</v>
      </c>
      <c r="O400">
        <f t="shared" si="36"/>
        <v>34</v>
      </c>
      <c r="P400" s="6">
        <f t="shared" si="37"/>
        <v>4.278882456581928E-3</v>
      </c>
      <c r="Q400" s="6">
        <f t="shared" si="38"/>
        <v>0.1411989284317666</v>
      </c>
    </row>
    <row r="401" spans="1:17" x14ac:dyDescent="0.25">
      <c r="A401" s="3">
        <v>400</v>
      </c>
      <c r="B401" s="3" t="s">
        <v>34</v>
      </c>
      <c r="C401" s="3" t="s">
        <v>35</v>
      </c>
      <c r="D401" s="3" t="s">
        <v>102</v>
      </c>
      <c r="E401" s="3">
        <v>4</v>
      </c>
      <c r="F401" s="3">
        <v>2024</v>
      </c>
      <c r="G401" s="9" t="s">
        <v>93</v>
      </c>
      <c r="H401" s="3">
        <v>9184</v>
      </c>
      <c r="I401" s="3">
        <v>8463</v>
      </c>
      <c r="J401" s="3">
        <v>721</v>
      </c>
      <c r="K401" s="3">
        <v>7.9</v>
      </c>
      <c r="L401" s="3" t="s">
        <v>83</v>
      </c>
      <c r="M401">
        <f t="shared" si="40"/>
        <v>7576</v>
      </c>
      <c r="N401">
        <f t="shared" si="39"/>
        <v>8731.376679723171</v>
      </c>
      <c r="O401">
        <f t="shared" si="36"/>
        <v>721</v>
      </c>
      <c r="P401" s="6">
        <f t="shared" si="37"/>
        <v>7.850609756097561E-2</v>
      </c>
      <c r="Q401" s="6">
        <f t="shared" si="38"/>
        <v>4.9283898113766218E-2</v>
      </c>
    </row>
    <row r="402" spans="1:17" x14ac:dyDescent="0.25">
      <c r="A402" s="2">
        <v>401</v>
      </c>
      <c r="B402" s="2" t="s">
        <v>34</v>
      </c>
      <c r="C402" s="2" t="s">
        <v>35</v>
      </c>
      <c r="D402" s="2" t="s">
        <v>102</v>
      </c>
      <c r="E402" s="2">
        <v>5</v>
      </c>
      <c r="F402" s="2">
        <v>2024</v>
      </c>
      <c r="G402" s="8" t="s">
        <v>94</v>
      </c>
      <c r="H402" s="2">
        <v>10782</v>
      </c>
      <c r="I402" s="2">
        <v>9862</v>
      </c>
      <c r="J402" s="2">
        <v>920</v>
      </c>
      <c r="K402" s="2">
        <v>8.5</v>
      </c>
      <c r="L402" s="2" t="s">
        <v>78</v>
      </c>
      <c r="M402">
        <f t="shared" si="40"/>
        <v>8278.6666666666661</v>
      </c>
      <c r="N402">
        <f t="shared" si="39"/>
        <v>8867.1636758062195</v>
      </c>
      <c r="O402">
        <f t="shared" si="36"/>
        <v>920</v>
      </c>
      <c r="P402" s="6">
        <f t="shared" si="37"/>
        <v>8.5327397514375805E-2</v>
      </c>
      <c r="Q402" s="6">
        <f t="shared" si="38"/>
        <v>0.17759565240157488</v>
      </c>
    </row>
    <row r="403" spans="1:17" x14ac:dyDescent="0.25">
      <c r="A403" s="3">
        <v>402</v>
      </c>
      <c r="B403" s="3" t="s">
        <v>34</v>
      </c>
      <c r="C403" s="3" t="s">
        <v>35</v>
      </c>
      <c r="D403" s="3" t="s">
        <v>102</v>
      </c>
      <c r="E403" s="3">
        <v>6</v>
      </c>
      <c r="F403" s="3">
        <v>2024</v>
      </c>
      <c r="G403" s="9" t="s">
        <v>95</v>
      </c>
      <c r="H403" s="3">
        <v>9845</v>
      </c>
      <c r="I403" s="3">
        <v>9152</v>
      </c>
      <c r="J403" s="3">
        <v>693</v>
      </c>
      <c r="K403" s="3">
        <v>7</v>
      </c>
      <c r="L403" s="3" t="s">
        <v>78</v>
      </c>
      <c r="M403">
        <f t="shared" si="40"/>
        <v>9304</v>
      </c>
      <c r="N403">
        <f t="shared" si="39"/>
        <v>9441.614573064353</v>
      </c>
      <c r="O403">
        <f t="shared" si="36"/>
        <v>693</v>
      </c>
      <c r="P403" s="6">
        <f t="shared" si="37"/>
        <v>7.0391061452513962E-2</v>
      </c>
      <c r="Q403" s="6">
        <f t="shared" si="38"/>
        <v>4.0973634020888473E-2</v>
      </c>
    </row>
    <row r="404" spans="1:17" x14ac:dyDescent="0.25">
      <c r="A404" s="2">
        <v>403</v>
      </c>
      <c r="B404" s="2" t="s">
        <v>34</v>
      </c>
      <c r="C404" s="2" t="s">
        <v>35</v>
      </c>
      <c r="D404" s="2" t="s">
        <v>102</v>
      </c>
      <c r="E404" s="2">
        <v>7</v>
      </c>
      <c r="F404" s="2">
        <v>2024</v>
      </c>
      <c r="G404" s="8" t="s">
        <v>96</v>
      </c>
      <c r="H404" s="2">
        <v>9552</v>
      </c>
      <c r="I404" s="2">
        <v>9806</v>
      </c>
      <c r="J404" s="2">
        <v>-254</v>
      </c>
      <c r="K404" s="2">
        <v>2.7</v>
      </c>
      <c r="L404" s="2" t="s">
        <v>83</v>
      </c>
      <c r="M404">
        <f t="shared" si="40"/>
        <v>9937</v>
      </c>
      <c r="N404">
        <f t="shared" si="39"/>
        <v>9562.6302011450462</v>
      </c>
      <c r="O404">
        <f t="shared" si="36"/>
        <v>254</v>
      </c>
      <c r="P404" s="6">
        <f t="shared" si="37"/>
        <v>2.6591289782244554E-2</v>
      </c>
      <c r="Q404" s="6">
        <f t="shared" si="38"/>
        <v>1.1128770042971271E-3</v>
      </c>
    </row>
    <row r="405" spans="1:17" x14ac:dyDescent="0.25">
      <c r="A405" s="3">
        <v>404</v>
      </c>
      <c r="B405" s="3" t="s">
        <v>34</v>
      </c>
      <c r="C405" s="3" t="s">
        <v>35</v>
      </c>
      <c r="D405" s="3" t="s">
        <v>102</v>
      </c>
      <c r="E405" s="3">
        <v>8</v>
      </c>
      <c r="F405" s="3">
        <v>2024</v>
      </c>
      <c r="G405" s="9" t="s">
        <v>97</v>
      </c>
      <c r="H405" s="3">
        <v>10317</v>
      </c>
      <c r="I405" s="3">
        <v>10071</v>
      </c>
      <c r="J405" s="3">
        <v>246</v>
      </c>
      <c r="K405" s="3">
        <v>2.4</v>
      </c>
      <c r="L405" s="3" t="s">
        <v>83</v>
      </c>
      <c r="M405">
        <f t="shared" si="40"/>
        <v>10059.666666666666</v>
      </c>
      <c r="N405">
        <f t="shared" si="39"/>
        <v>9559.4411408015312</v>
      </c>
      <c r="O405">
        <f t="shared" si="36"/>
        <v>246</v>
      </c>
      <c r="P405" s="6">
        <f t="shared" si="37"/>
        <v>2.3844140738586799E-2</v>
      </c>
      <c r="Q405" s="6">
        <f t="shared" si="38"/>
        <v>7.3428211611754265E-2</v>
      </c>
    </row>
    <row r="406" spans="1:17" x14ac:dyDescent="0.25">
      <c r="A406" s="2">
        <v>405</v>
      </c>
      <c r="B406" s="2" t="s">
        <v>34</v>
      </c>
      <c r="C406" s="2" t="s">
        <v>35</v>
      </c>
      <c r="D406" s="2" t="s">
        <v>102</v>
      </c>
      <c r="E406" s="2">
        <v>9</v>
      </c>
      <c r="F406" s="2">
        <v>2024</v>
      </c>
      <c r="G406" s="8" t="s">
        <v>98</v>
      </c>
      <c r="H406" s="2">
        <v>9418</v>
      </c>
      <c r="I406" s="2">
        <v>9330</v>
      </c>
      <c r="J406" s="2">
        <v>88</v>
      </c>
      <c r="K406" s="2">
        <v>0.9</v>
      </c>
      <c r="L406" s="2" t="s">
        <v>83</v>
      </c>
      <c r="M406">
        <f t="shared" si="40"/>
        <v>9904.6666666666661</v>
      </c>
      <c r="N406">
        <f t="shared" si="39"/>
        <v>9786.7087985610706</v>
      </c>
      <c r="O406">
        <f t="shared" si="36"/>
        <v>88</v>
      </c>
      <c r="P406" s="6">
        <f t="shared" si="37"/>
        <v>9.3438097260564873E-3</v>
      </c>
      <c r="Q406" s="6">
        <f t="shared" si="38"/>
        <v>3.9149373387244703E-2</v>
      </c>
    </row>
    <row r="407" spans="1:17" x14ac:dyDescent="0.25">
      <c r="A407" s="3">
        <v>406</v>
      </c>
      <c r="B407" s="3" t="s">
        <v>34</v>
      </c>
      <c r="C407" s="3" t="s">
        <v>35</v>
      </c>
      <c r="D407" s="3" t="s">
        <v>102</v>
      </c>
      <c r="E407" s="3">
        <v>10</v>
      </c>
      <c r="F407" s="3">
        <v>2024</v>
      </c>
      <c r="G407" s="9" t="s">
        <v>99</v>
      </c>
      <c r="H407" s="3">
        <v>10112</v>
      </c>
      <c r="I407" s="3">
        <v>10704</v>
      </c>
      <c r="J407" s="3">
        <v>-592</v>
      </c>
      <c r="K407" s="3">
        <v>5.9</v>
      </c>
      <c r="L407" s="3" t="s">
        <v>78</v>
      </c>
      <c r="M407">
        <f t="shared" si="40"/>
        <v>9762.3333333333339</v>
      </c>
      <c r="N407">
        <f t="shared" si="39"/>
        <v>9676.0961589927483</v>
      </c>
      <c r="O407">
        <f t="shared" si="36"/>
        <v>592</v>
      </c>
      <c r="P407" s="6">
        <f t="shared" si="37"/>
        <v>5.8544303797468354E-2</v>
      </c>
      <c r="Q407" s="6">
        <f t="shared" si="38"/>
        <v>4.3107579213533594E-2</v>
      </c>
    </row>
    <row r="408" spans="1:17" x14ac:dyDescent="0.25">
      <c r="A408" s="2">
        <v>407</v>
      </c>
      <c r="B408" s="2" t="s">
        <v>34</v>
      </c>
      <c r="C408" s="2" t="s">
        <v>35</v>
      </c>
      <c r="D408" s="2" t="s">
        <v>102</v>
      </c>
      <c r="E408" s="2">
        <v>11</v>
      </c>
      <c r="F408" s="2">
        <v>2024</v>
      </c>
      <c r="G408" s="8" t="s">
        <v>100</v>
      </c>
      <c r="H408" s="2">
        <v>12677</v>
      </c>
      <c r="I408" s="2">
        <v>13059</v>
      </c>
      <c r="J408" s="2">
        <v>-382</v>
      </c>
      <c r="K408" s="2">
        <v>3</v>
      </c>
      <c r="L408" s="2" t="s">
        <v>83</v>
      </c>
      <c r="M408">
        <f t="shared" si="40"/>
        <v>9949</v>
      </c>
      <c r="N408">
        <f t="shared" si="39"/>
        <v>9806.8673112949236</v>
      </c>
      <c r="O408">
        <f t="shared" si="36"/>
        <v>382</v>
      </c>
      <c r="P408" s="6">
        <f t="shared" si="37"/>
        <v>3.0133312297862272E-2</v>
      </c>
      <c r="Q408" s="6">
        <f t="shared" si="38"/>
        <v>0.2264047242017099</v>
      </c>
    </row>
    <row r="409" spans="1:17" x14ac:dyDescent="0.25">
      <c r="A409" s="3">
        <v>408</v>
      </c>
      <c r="B409" s="3" t="s">
        <v>34</v>
      </c>
      <c r="C409" s="3" t="s">
        <v>35</v>
      </c>
      <c r="D409" s="3" t="s">
        <v>102</v>
      </c>
      <c r="E409" s="3">
        <v>12</v>
      </c>
      <c r="F409" s="3">
        <v>2024</v>
      </c>
      <c r="G409" s="9" t="s">
        <v>101</v>
      </c>
      <c r="H409" s="3">
        <v>12799</v>
      </c>
      <c r="I409" s="3">
        <v>12069</v>
      </c>
      <c r="J409" s="3">
        <v>730</v>
      </c>
      <c r="K409" s="3">
        <v>5.7</v>
      </c>
      <c r="L409" s="3" t="s">
        <v>76</v>
      </c>
      <c r="M409">
        <f t="shared" si="40"/>
        <v>10735.666666666666</v>
      </c>
      <c r="N409">
        <f t="shared" si="39"/>
        <v>10667.907117906447</v>
      </c>
      <c r="O409">
        <f t="shared" si="36"/>
        <v>730</v>
      </c>
      <c r="P409" s="6">
        <f t="shared" si="37"/>
        <v>5.7035705914524573E-2</v>
      </c>
      <c r="Q409" s="6">
        <f t="shared" si="38"/>
        <v>0.16650463958852671</v>
      </c>
    </row>
    <row r="410" spans="1:17" x14ac:dyDescent="0.25">
      <c r="A410" s="2">
        <v>409</v>
      </c>
      <c r="B410" s="2" t="s">
        <v>34</v>
      </c>
      <c r="C410" s="2" t="s">
        <v>35</v>
      </c>
      <c r="D410" s="2" t="s">
        <v>103</v>
      </c>
      <c r="E410" s="2">
        <v>1</v>
      </c>
      <c r="F410" s="2">
        <v>2023</v>
      </c>
      <c r="G410" s="8" t="s">
        <v>75</v>
      </c>
      <c r="H410" s="2">
        <v>9709</v>
      </c>
      <c r="I410" s="2">
        <v>9541</v>
      </c>
      <c r="J410" s="2">
        <v>168</v>
      </c>
      <c r="K410" s="2">
        <v>1.7</v>
      </c>
      <c r="L410" s="2" t="s">
        <v>76</v>
      </c>
      <c r="M410">
        <f t="shared" si="40"/>
        <v>11862.666666666666</v>
      </c>
      <c r="N410">
        <f t="shared" si="39"/>
        <v>11307.234982534512</v>
      </c>
      <c r="O410">
        <f t="shared" si="36"/>
        <v>168</v>
      </c>
      <c r="P410" s="6">
        <f t="shared" si="37"/>
        <v>1.7303532804614274E-2</v>
      </c>
      <c r="Q410" s="6">
        <f t="shared" si="38"/>
        <v>0.16461375862957173</v>
      </c>
    </row>
    <row r="411" spans="1:17" x14ac:dyDescent="0.25">
      <c r="A411" s="3">
        <v>410</v>
      </c>
      <c r="B411" s="3" t="s">
        <v>34</v>
      </c>
      <c r="C411" s="3" t="s">
        <v>35</v>
      </c>
      <c r="D411" s="3" t="s">
        <v>103</v>
      </c>
      <c r="E411" s="3">
        <v>2</v>
      </c>
      <c r="F411" s="3">
        <v>2023</v>
      </c>
      <c r="G411" s="9" t="s">
        <v>77</v>
      </c>
      <c r="H411" s="3">
        <v>8360</v>
      </c>
      <c r="I411" s="3">
        <v>8743</v>
      </c>
      <c r="J411" s="3">
        <v>-383</v>
      </c>
      <c r="K411" s="3">
        <v>4.5999999999999996</v>
      </c>
      <c r="L411" s="3" t="s">
        <v>76</v>
      </c>
      <c r="M411">
        <f t="shared" si="40"/>
        <v>11728.333333333334</v>
      </c>
      <c r="N411">
        <f t="shared" si="39"/>
        <v>10827.764487774159</v>
      </c>
      <c r="O411">
        <f t="shared" si="36"/>
        <v>383</v>
      </c>
      <c r="P411" s="6">
        <f t="shared" si="37"/>
        <v>4.5813397129186605E-2</v>
      </c>
      <c r="Q411" s="6">
        <f t="shared" si="38"/>
        <v>0.29518713968590415</v>
      </c>
    </row>
    <row r="412" spans="1:17" x14ac:dyDescent="0.25">
      <c r="A412" s="2">
        <v>411</v>
      </c>
      <c r="B412" s="2" t="s">
        <v>34</v>
      </c>
      <c r="C412" s="2" t="s">
        <v>35</v>
      </c>
      <c r="D412" s="2" t="s">
        <v>103</v>
      </c>
      <c r="E412" s="2">
        <v>3</v>
      </c>
      <c r="F412" s="2">
        <v>2023</v>
      </c>
      <c r="G412" s="8" t="s">
        <v>79</v>
      </c>
      <c r="H412" s="2">
        <v>9753</v>
      </c>
      <c r="I412" s="2">
        <v>10075</v>
      </c>
      <c r="J412" s="2">
        <v>-322</v>
      </c>
      <c r="K412" s="2">
        <v>3.3</v>
      </c>
      <c r="L412" s="2" t="s">
        <v>76</v>
      </c>
      <c r="M412">
        <f t="shared" si="40"/>
        <v>10289.333333333334</v>
      </c>
      <c r="N412">
        <f t="shared" si="39"/>
        <v>10087.435141441911</v>
      </c>
      <c r="O412">
        <f t="shared" si="36"/>
        <v>322</v>
      </c>
      <c r="P412" s="6">
        <f t="shared" si="37"/>
        <v>3.3015482415666972E-2</v>
      </c>
      <c r="Q412" s="6">
        <f t="shared" si="38"/>
        <v>3.4290489228125776E-2</v>
      </c>
    </row>
    <row r="413" spans="1:17" x14ac:dyDescent="0.25">
      <c r="A413" s="3">
        <v>412</v>
      </c>
      <c r="B413" s="3" t="s">
        <v>34</v>
      </c>
      <c r="C413" s="3" t="s">
        <v>35</v>
      </c>
      <c r="D413" s="3" t="s">
        <v>103</v>
      </c>
      <c r="E413" s="3">
        <v>4</v>
      </c>
      <c r="F413" s="3">
        <v>2023</v>
      </c>
      <c r="G413" s="9" t="s">
        <v>80</v>
      </c>
      <c r="H413" s="3">
        <v>11587</v>
      </c>
      <c r="I413" s="3">
        <v>12019</v>
      </c>
      <c r="J413" s="3">
        <v>-432</v>
      </c>
      <c r="K413" s="3">
        <v>3.7</v>
      </c>
      <c r="L413" s="3" t="s">
        <v>76</v>
      </c>
      <c r="M413">
        <f t="shared" si="40"/>
        <v>9274</v>
      </c>
      <c r="N413">
        <f t="shared" si="39"/>
        <v>9987.1045990093371</v>
      </c>
      <c r="O413">
        <f t="shared" si="36"/>
        <v>432</v>
      </c>
      <c r="P413" s="6">
        <f t="shared" si="37"/>
        <v>3.728316216449469E-2</v>
      </c>
      <c r="Q413" s="6">
        <f t="shared" si="38"/>
        <v>0.13807675852167628</v>
      </c>
    </row>
    <row r="414" spans="1:17" x14ac:dyDescent="0.25">
      <c r="A414" s="2">
        <v>413</v>
      </c>
      <c r="B414" s="2" t="s">
        <v>34</v>
      </c>
      <c r="C414" s="2" t="s">
        <v>35</v>
      </c>
      <c r="D414" s="2" t="s">
        <v>103</v>
      </c>
      <c r="E414" s="2">
        <v>5</v>
      </c>
      <c r="F414" s="2">
        <v>2023</v>
      </c>
      <c r="G414" s="8" t="s">
        <v>81</v>
      </c>
      <c r="H414" s="2">
        <v>9832</v>
      </c>
      <c r="I414" s="2">
        <v>10484</v>
      </c>
      <c r="J414" s="2">
        <v>-652</v>
      </c>
      <c r="K414" s="2">
        <v>6.6</v>
      </c>
      <c r="L414" s="2" t="s">
        <v>78</v>
      </c>
      <c r="M414">
        <f t="shared" si="40"/>
        <v>9900</v>
      </c>
      <c r="N414">
        <f t="shared" si="39"/>
        <v>10467.073219306536</v>
      </c>
      <c r="O414">
        <f t="shared" si="36"/>
        <v>652</v>
      </c>
      <c r="P414" s="6">
        <f t="shared" si="37"/>
        <v>6.631407648494711E-2</v>
      </c>
      <c r="Q414" s="6">
        <f t="shared" si="38"/>
        <v>6.4592475519379161E-2</v>
      </c>
    </row>
    <row r="415" spans="1:17" x14ac:dyDescent="0.25">
      <c r="A415" s="3">
        <v>414</v>
      </c>
      <c r="B415" s="3" t="s">
        <v>34</v>
      </c>
      <c r="C415" s="3" t="s">
        <v>35</v>
      </c>
      <c r="D415" s="3" t="s">
        <v>103</v>
      </c>
      <c r="E415" s="3">
        <v>6</v>
      </c>
      <c r="F415" s="3">
        <v>2023</v>
      </c>
      <c r="G415" s="9" t="s">
        <v>82</v>
      </c>
      <c r="H415" s="3">
        <v>11307</v>
      </c>
      <c r="I415" s="3">
        <v>11860</v>
      </c>
      <c r="J415" s="3">
        <v>-553</v>
      </c>
      <c r="K415" s="3">
        <v>4.9000000000000004</v>
      </c>
      <c r="L415" s="3" t="s">
        <v>76</v>
      </c>
      <c r="M415">
        <f t="shared" si="40"/>
        <v>10390.666666666666</v>
      </c>
      <c r="N415">
        <f t="shared" si="39"/>
        <v>10276.551253514575</v>
      </c>
      <c r="O415">
        <f t="shared" si="36"/>
        <v>553</v>
      </c>
      <c r="P415" s="6">
        <f t="shared" si="37"/>
        <v>4.8907756257185811E-2</v>
      </c>
      <c r="Q415" s="6">
        <f t="shared" si="38"/>
        <v>9.1133700051775415E-2</v>
      </c>
    </row>
    <row r="416" spans="1:17" x14ac:dyDescent="0.25">
      <c r="A416" s="2">
        <v>415</v>
      </c>
      <c r="B416" s="2" t="s">
        <v>34</v>
      </c>
      <c r="C416" s="2" t="s">
        <v>35</v>
      </c>
      <c r="D416" s="2" t="s">
        <v>103</v>
      </c>
      <c r="E416" s="2">
        <v>7</v>
      </c>
      <c r="F416" s="2">
        <v>2023</v>
      </c>
      <c r="G416" s="8" t="s">
        <v>84</v>
      </c>
      <c r="H416" s="2">
        <v>12130</v>
      </c>
      <c r="I416" s="2">
        <v>12266</v>
      </c>
      <c r="J416" s="2">
        <v>-136</v>
      </c>
      <c r="K416" s="2">
        <v>1.1000000000000001</v>
      </c>
      <c r="L416" s="2" t="s">
        <v>83</v>
      </c>
      <c r="M416">
        <f t="shared" si="40"/>
        <v>10908.666666666666</v>
      </c>
      <c r="N416">
        <f t="shared" si="39"/>
        <v>10585.685877460202</v>
      </c>
      <c r="O416">
        <f t="shared" si="36"/>
        <v>136</v>
      </c>
      <c r="P416" s="6">
        <f t="shared" si="37"/>
        <v>1.1211871393239901E-2</v>
      </c>
      <c r="Q416" s="6">
        <f t="shared" si="38"/>
        <v>0.12731361274029659</v>
      </c>
    </row>
    <row r="417" spans="1:17" x14ac:dyDescent="0.25">
      <c r="A417" s="3">
        <v>416</v>
      </c>
      <c r="B417" s="3" t="s">
        <v>34</v>
      </c>
      <c r="C417" s="3" t="s">
        <v>35</v>
      </c>
      <c r="D417" s="3" t="s">
        <v>103</v>
      </c>
      <c r="E417" s="3">
        <v>8</v>
      </c>
      <c r="F417" s="3">
        <v>2023</v>
      </c>
      <c r="G417" s="9" t="s">
        <v>85</v>
      </c>
      <c r="H417" s="3">
        <v>12174</v>
      </c>
      <c r="I417" s="3">
        <v>12324</v>
      </c>
      <c r="J417" s="3">
        <v>-150</v>
      </c>
      <c r="K417" s="3">
        <v>1.2</v>
      </c>
      <c r="L417" s="3" t="s">
        <v>83</v>
      </c>
      <c r="M417">
        <f t="shared" si="40"/>
        <v>11089.666666666666</v>
      </c>
      <c r="N417">
        <f t="shared" si="39"/>
        <v>11048.98011422214</v>
      </c>
      <c r="O417">
        <f t="shared" si="36"/>
        <v>150</v>
      </c>
      <c r="P417" s="6">
        <f t="shared" si="37"/>
        <v>1.232134056185313E-2</v>
      </c>
      <c r="Q417" s="6">
        <f t="shared" si="38"/>
        <v>9.241168767684077E-2</v>
      </c>
    </row>
    <row r="418" spans="1:17" x14ac:dyDescent="0.25">
      <c r="A418" s="2">
        <v>417</v>
      </c>
      <c r="B418" s="2" t="s">
        <v>34</v>
      </c>
      <c r="C418" s="2" t="s">
        <v>35</v>
      </c>
      <c r="D418" s="2" t="s">
        <v>103</v>
      </c>
      <c r="E418" s="2">
        <v>9</v>
      </c>
      <c r="F418" s="2">
        <v>2023</v>
      </c>
      <c r="G418" s="8" t="s">
        <v>86</v>
      </c>
      <c r="H418" s="2">
        <v>9502</v>
      </c>
      <c r="I418" s="2">
        <v>9223</v>
      </c>
      <c r="J418" s="2">
        <v>279</v>
      </c>
      <c r="K418" s="2">
        <v>2.9</v>
      </c>
      <c r="L418" s="2" t="s">
        <v>83</v>
      </c>
      <c r="M418">
        <f t="shared" si="40"/>
        <v>11870.333333333334</v>
      </c>
      <c r="N418">
        <f t="shared" si="39"/>
        <v>11386.486079955497</v>
      </c>
      <c r="O418">
        <f t="shared" si="36"/>
        <v>279</v>
      </c>
      <c r="P418" s="6">
        <f t="shared" si="37"/>
        <v>2.9362239528520313E-2</v>
      </c>
      <c r="Q418" s="6">
        <f t="shared" si="38"/>
        <v>0.19832520311045013</v>
      </c>
    </row>
    <row r="419" spans="1:17" x14ac:dyDescent="0.25">
      <c r="A419" s="3">
        <v>418</v>
      </c>
      <c r="B419" s="3" t="s">
        <v>34</v>
      </c>
      <c r="C419" s="3" t="s">
        <v>35</v>
      </c>
      <c r="D419" s="3" t="s">
        <v>103</v>
      </c>
      <c r="E419" s="3">
        <v>10</v>
      </c>
      <c r="F419" s="3">
        <v>2023</v>
      </c>
      <c r="G419" s="9" t="s">
        <v>87</v>
      </c>
      <c r="H419" s="3">
        <v>12711</v>
      </c>
      <c r="I419" s="3">
        <v>12515</v>
      </c>
      <c r="J419" s="3">
        <v>196</v>
      </c>
      <c r="K419" s="3">
        <v>1.5</v>
      </c>
      <c r="L419" s="3" t="s">
        <v>83</v>
      </c>
      <c r="M419">
        <f t="shared" si="40"/>
        <v>11268.666666666666</v>
      </c>
      <c r="N419">
        <f t="shared" si="39"/>
        <v>10821.140255968847</v>
      </c>
      <c r="O419">
        <f t="shared" si="36"/>
        <v>196</v>
      </c>
      <c r="P419" s="6">
        <f t="shared" si="37"/>
        <v>1.5419715207300764E-2</v>
      </c>
      <c r="Q419" s="6">
        <f t="shared" si="38"/>
        <v>0.14867907670766684</v>
      </c>
    </row>
    <row r="420" spans="1:17" x14ac:dyDescent="0.25">
      <c r="A420" s="2">
        <v>419</v>
      </c>
      <c r="B420" s="2" t="s">
        <v>34</v>
      </c>
      <c r="C420" s="2" t="s">
        <v>35</v>
      </c>
      <c r="D420" s="2" t="s">
        <v>103</v>
      </c>
      <c r="E420" s="2">
        <v>11</v>
      </c>
      <c r="F420" s="2">
        <v>2023</v>
      </c>
      <c r="G420" s="8" t="s">
        <v>88</v>
      </c>
      <c r="H420" s="2">
        <v>11656</v>
      </c>
      <c r="I420" s="2">
        <v>11160</v>
      </c>
      <c r="J420" s="2">
        <v>496</v>
      </c>
      <c r="K420" s="2">
        <v>4.3</v>
      </c>
      <c r="L420" s="2" t="s">
        <v>76</v>
      </c>
      <c r="M420">
        <f t="shared" si="40"/>
        <v>11462.333333333334</v>
      </c>
      <c r="N420">
        <f t="shared" si="39"/>
        <v>11388.098179178192</v>
      </c>
      <c r="O420">
        <f t="shared" si="36"/>
        <v>496</v>
      </c>
      <c r="P420" s="6">
        <f t="shared" si="37"/>
        <v>4.2553191489361701E-2</v>
      </c>
      <c r="Q420" s="6">
        <f t="shared" si="38"/>
        <v>2.2984027181006145E-2</v>
      </c>
    </row>
    <row r="421" spans="1:17" x14ac:dyDescent="0.25">
      <c r="A421" s="3">
        <v>420</v>
      </c>
      <c r="B421" s="3" t="s">
        <v>34</v>
      </c>
      <c r="C421" s="3" t="s">
        <v>35</v>
      </c>
      <c r="D421" s="3" t="s">
        <v>103</v>
      </c>
      <c r="E421" s="3">
        <v>12</v>
      </c>
      <c r="F421" s="3">
        <v>2023</v>
      </c>
      <c r="G421" s="9" t="s">
        <v>89</v>
      </c>
      <c r="H421" s="3">
        <v>13101</v>
      </c>
      <c r="I421" s="3">
        <v>13305</v>
      </c>
      <c r="J421" s="3">
        <v>-204</v>
      </c>
      <c r="K421" s="3">
        <v>1.6</v>
      </c>
      <c r="L421" s="3" t="s">
        <v>78</v>
      </c>
      <c r="M421">
        <f t="shared" si="40"/>
        <v>11289.666666666666</v>
      </c>
      <c r="N421">
        <f t="shared" si="39"/>
        <v>11468.468725424735</v>
      </c>
      <c r="O421">
        <f t="shared" si="36"/>
        <v>204</v>
      </c>
      <c r="P421" s="6">
        <f t="shared" si="37"/>
        <v>1.5571330432791391E-2</v>
      </c>
      <c r="Q421" s="6">
        <f t="shared" si="38"/>
        <v>0.1246111956778311</v>
      </c>
    </row>
    <row r="422" spans="1:17" x14ac:dyDescent="0.25">
      <c r="A422" s="2">
        <v>421</v>
      </c>
      <c r="B422" s="2" t="s">
        <v>34</v>
      </c>
      <c r="C422" s="2" t="s">
        <v>35</v>
      </c>
      <c r="D422" s="2" t="s">
        <v>103</v>
      </c>
      <c r="E422" s="2">
        <v>1</v>
      </c>
      <c r="F422" s="2">
        <v>2024</v>
      </c>
      <c r="G422" s="8" t="s">
        <v>90</v>
      </c>
      <c r="H422" s="2">
        <v>8146</v>
      </c>
      <c r="I422" s="2">
        <v>8116</v>
      </c>
      <c r="J422" s="2">
        <v>30</v>
      </c>
      <c r="K422" s="2">
        <v>0.4</v>
      </c>
      <c r="L422" s="2" t="s">
        <v>78</v>
      </c>
      <c r="M422">
        <f t="shared" si="40"/>
        <v>12489.333333333334</v>
      </c>
      <c r="N422">
        <f t="shared" si="39"/>
        <v>11958.228107797313</v>
      </c>
      <c r="O422">
        <f t="shared" si="36"/>
        <v>30</v>
      </c>
      <c r="P422" s="6">
        <f t="shared" si="37"/>
        <v>3.682789098944267E-3</v>
      </c>
      <c r="Q422" s="6">
        <f t="shared" si="38"/>
        <v>0.46798773726949583</v>
      </c>
    </row>
    <row r="423" spans="1:17" x14ac:dyDescent="0.25">
      <c r="A423" s="3">
        <v>422</v>
      </c>
      <c r="B423" s="3" t="s">
        <v>34</v>
      </c>
      <c r="C423" s="3" t="s">
        <v>35</v>
      </c>
      <c r="D423" s="3" t="s">
        <v>103</v>
      </c>
      <c r="E423" s="3">
        <v>2</v>
      </c>
      <c r="F423" s="3">
        <v>2024</v>
      </c>
      <c r="G423" s="9" t="s">
        <v>91</v>
      </c>
      <c r="H423" s="3">
        <v>8260</v>
      </c>
      <c r="I423" s="3">
        <v>8352</v>
      </c>
      <c r="J423" s="3">
        <v>-92</v>
      </c>
      <c r="K423" s="3">
        <v>1.1000000000000001</v>
      </c>
      <c r="L423" s="3" t="s">
        <v>78</v>
      </c>
      <c r="M423">
        <f t="shared" si="40"/>
        <v>10967.666666666666</v>
      </c>
      <c r="N423">
        <f t="shared" si="39"/>
        <v>10814.559675458118</v>
      </c>
      <c r="O423">
        <f t="shared" si="36"/>
        <v>92</v>
      </c>
      <c r="P423" s="6">
        <f t="shared" si="37"/>
        <v>1.1138014527845037E-2</v>
      </c>
      <c r="Q423" s="6">
        <f t="shared" si="38"/>
        <v>0.30926872584238724</v>
      </c>
    </row>
    <row r="424" spans="1:17" x14ac:dyDescent="0.25">
      <c r="A424" s="2">
        <v>423</v>
      </c>
      <c r="B424" s="2" t="s">
        <v>34</v>
      </c>
      <c r="C424" s="2" t="s">
        <v>35</v>
      </c>
      <c r="D424" s="2" t="s">
        <v>103</v>
      </c>
      <c r="E424" s="2">
        <v>3</v>
      </c>
      <c r="F424" s="2">
        <v>2024</v>
      </c>
      <c r="G424" s="8" t="s">
        <v>92</v>
      </c>
      <c r="H424" s="2">
        <v>10553</v>
      </c>
      <c r="I424" s="2">
        <v>10709</v>
      </c>
      <c r="J424" s="2">
        <v>-156</v>
      </c>
      <c r="K424" s="2">
        <v>1.5</v>
      </c>
      <c r="L424" s="2" t="s">
        <v>76</v>
      </c>
      <c r="M424">
        <f t="shared" si="40"/>
        <v>9835.6666666666661</v>
      </c>
      <c r="N424">
        <f t="shared" si="39"/>
        <v>10048.191772820683</v>
      </c>
      <c r="O424">
        <f t="shared" si="36"/>
        <v>156</v>
      </c>
      <c r="P424" s="6">
        <f t="shared" si="37"/>
        <v>1.4782526295840046E-2</v>
      </c>
      <c r="Q424" s="6">
        <f t="shared" si="38"/>
        <v>4.7835518542529834E-2</v>
      </c>
    </row>
    <row r="425" spans="1:17" x14ac:dyDescent="0.25">
      <c r="A425" s="3">
        <v>424</v>
      </c>
      <c r="B425" s="3" t="s">
        <v>34</v>
      </c>
      <c r="C425" s="3" t="s">
        <v>35</v>
      </c>
      <c r="D425" s="3" t="s">
        <v>103</v>
      </c>
      <c r="E425" s="3">
        <v>4</v>
      </c>
      <c r="F425" s="3">
        <v>2024</v>
      </c>
      <c r="G425" s="9" t="s">
        <v>93</v>
      </c>
      <c r="H425" s="3">
        <v>11315</v>
      </c>
      <c r="I425" s="3">
        <v>12388</v>
      </c>
      <c r="J425" s="3">
        <v>-1073</v>
      </c>
      <c r="K425" s="3">
        <v>9.5</v>
      </c>
      <c r="L425" s="3" t="s">
        <v>83</v>
      </c>
      <c r="M425">
        <f t="shared" si="40"/>
        <v>8986.3333333333339</v>
      </c>
      <c r="N425">
        <f t="shared" si="39"/>
        <v>10199.634240974478</v>
      </c>
      <c r="O425">
        <f t="shared" si="36"/>
        <v>1073</v>
      </c>
      <c r="P425" s="6">
        <f t="shared" si="37"/>
        <v>9.4829871851524528E-2</v>
      </c>
      <c r="Q425" s="6">
        <f t="shared" si="38"/>
        <v>9.8574083873223375E-2</v>
      </c>
    </row>
    <row r="426" spans="1:17" x14ac:dyDescent="0.25">
      <c r="A426" s="2">
        <v>425</v>
      </c>
      <c r="B426" s="2" t="s">
        <v>34</v>
      </c>
      <c r="C426" s="2" t="s">
        <v>35</v>
      </c>
      <c r="D426" s="2" t="s">
        <v>103</v>
      </c>
      <c r="E426" s="2">
        <v>5</v>
      </c>
      <c r="F426" s="2">
        <v>2024</v>
      </c>
      <c r="G426" s="8" t="s">
        <v>94</v>
      </c>
      <c r="H426" s="2">
        <v>11271</v>
      </c>
      <c r="I426" s="2">
        <v>11592</v>
      </c>
      <c r="J426" s="2">
        <v>-321</v>
      </c>
      <c r="K426" s="2">
        <v>2.8</v>
      </c>
      <c r="L426" s="2" t="s">
        <v>78</v>
      </c>
      <c r="M426">
        <f t="shared" si="40"/>
        <v>10042.666666666666</v>
      </c>
      <c r="N426">
        <f t="shared" si="39"/>
        <v>10534.243968682134</v>
      </c>
      <c r="O426">
        <f t="shared" si="36"/>
        <v>321</v>
      </c>
      <c r="P426" s="6">
        <f t="shared" si="37"/>
        <v>2.848017034868246E-2</v>
      </c>
      <c r="Q426" s="6">
        <f t="shared" si="38"/>
        <v>6.5367405848448717E-2</v>
      </c>
    </row>
    <row r="427" spans="1:17" x14ac:dyDescent="0.25">
      <c r="A427" s="3">
        <v>426</v>
      </c>
      <c r="B427" s="3" t="s">
        <v>34</v>
      </c>
      <c r="C427" s="3" t="s">
        <v>35</v>
      </c>
      <c r="D427" s="3" t="s">
        <v>103</v>
      </c>
      <c r="E427" s="3">
        <v>6</v>
      </c>
      <c r="F427" s="3">
        <v>2024</v>
      </c>
      <c r="G427" s="9" t="s">
        <v>95</v>
      </c>
      <c r="H427" s="3">
        <v>11795</v>
      </c>
      <c r="I427" s="3">
        <v>12167</v>
      </c>
      <c r="J427" s="3">
        <v>-372</v>
      </c>
      <c r="K427" s="3">
        <v>3.2</v>
      </c>
      <c r="L427" s="3" t="s">
        <v>83</v>
      </c>
      <c r="M427">
        <f t="shared" si="40"/>
        <v>11046.333333333334</v>
      </c>
      <c r="N427">
        <f t="shared" si="39"/>
        <v>10755.270778077493</v>
      </c>
      <c r="O427">
        <f t="shared" si="36"/>
        <v>372</v>
      </c>
      <c r="P427" s="6">
        <f t="shared" si="37"/>
        <v>3.1538787621873676E-2</v>
      </c>
      <c r="Q427" s="6">
        <f t="shared" si="38"/>
        <v>8.81499976195428E-2</v>
      </c>
    </row>
    <row r="428" spans="1:17" x14ac:dyDescent="0.25">
      <c r="A428" s="2">
        <v>427</v>
      </c>
      <c r="B428" s="2" t="s">
        <v>34</v>
      </c>
      <c r="C428" s="2" t="s">
        <v>35</v>
      </c>
      <c r="D428" s="2" t="s">
        <v>103</v>
      </c>
      <c r="E428" s="2">
        <v>7</v>
      </c>
      <c r="F428" s="2">
        <v>2024</v>
      </c>
      <c r="G428" s="8" t="s">
        <v>96</v>
      </c>
      <c r="H428" s="2">
        <v>10656</v>
      </c>
      <c r="I428" s="2">
        <v>9974</v>
      </c>
      <c r="J428" s="2">
        <v>682</v>
      </c>
      <c r="K428" s="2">
        <v>6.4</v>
      </c>
      <c r="L428" s="2" t="s">
        <v>83</v>
      </c>
      <c r="M428">
        <f t="shared" si="40"/>
        <v>11460.333333333334</v>
      </c>
      <c r="N428">
        <f t="shared" si="39"/>
        <v>11067.189544654244</v>
      </c>
      <c r="O428">
        <f t="shared" si="36"/>
        <v>682</v>
      </c>
      <c r="P428" s="6">
        <f t="shared" si="37"/>
        <v>6.4001501501501495E-2</v>
      </c>
      <c r="Q428" s="6">
        <f t="shared" si="38"/>
        <v>3.8587607418754125E-2</v>
      </c>
    </row>
    <row r="429" spans="1:17" x14ac:dyDescent="0.25">
      <c r="A429" s="3">
        <v>428</v>
      </c>
      <c r="B429" s="3" t="s">
        <v>34</v>
      </c>
      <c r="C429" s="3" t="s">
        <v>35</v>
      </c>
      <c r="D429" s="3" t="s">
        <v>103</v>
      </c>
      <c r="E429" s="3">
        <v>8</v>
      </c>
      <c r="F429" s="3">
        <v>2024</v>
      </c>
      <c r="G429" s="9" t="s">
        <v>97</v>
      </c>
      <c r="H429" s="3">
        <v>11663</v>
      </c>
      <c r="I429" s="3">
        <v>12646</v>
      </c>
      <c r="J429" s="3">
        <v>-983</v>
      </c>
      <c r="K429" s="3">
        <v>8.4</v>
      </c>
      <c r="L429" s="3" t="s">
        <v>76</v>
      </c>
      <c r="M429">
        <f t="shared" si="40"/>
        <v>11240.666666666666</v>
      </c>
      <c r="N429">
        <f t="shared" si="39"/>
        <v>10943.832681257971</v>
      </c>
      <c r="O429">
        <f t="shared" si="36"/>
        <v>983</v>
      </c>
      <c r="P429" s="6">
        <f t="shared" si="37"/>
        <v>8.4283631998628136E-2</v>
      </c>
      <c r="Q429" s="6">
        <f t="shared" si="38"/>
        <v>6.1662292612709356E-2</v>
      </c>
    </row>
    <row r="430" spans="1:17" x14ac:dyDescent="0.25">
      <c r="A430" s="2">
        <v>429</v>
      </c>
      <c r="B430" s="2" t="s">
        <v>34</v>
      </c>
      <c r="C430" s="2" t="s">
        <v>35</v>
      </c>
      <c r="D430" s="2" t="s">
        <v>103</v>
      </c>
      <c r="E430" s="2">
        <v>9</v>
      </c>
      <c r="F430" s="2">
        <v>2024</v>
      </c>
      <c r="G430" s="8" t="s">
        <v>98</v>
      </c>
      <c r="H430" s="2">
        <v>9211</v>
      </c>
      <c r="I430" s="2">
        <v>9892</v>
      </c>
      <c r="J430" s="2">
        <v>-681</v>
      </c>
      <c r="K430" s="2">
        <v>7.4</v>
      </c>
      <c r="L430" s="2" t="s">
        <v>83</v>
      </c>
      <c r="M430">
        <f t="shared" si="40"/>
        <v>11371.333333333334</v>
      </c>
      <c r="N430">
        <f t="shared" si="39"/>
        <v>11159.582876880579</v>
      </c>
      <c r="O430">
        <f t="shared" si="36"/>
        <v>681</v>
      </c>
      <c r="P430" s="6">
        <f t="shared" si="37"/>
        <v>7.3933340571056341E-2</v>
      </c>
      <c r="Q430" s="6">
        <f t="shared" si="38"/>
        <v>0.21154954694176295</v>
      </c>
    </row>
    <row r="431" spans="1:17" x14ac:dyDescent="0.25">
      <c r="A431" s="3">
        <v>430</v>
      </c>
      <c r="B431" s="3" t="s">
        <v>34</v>
      </c>
      <c r="C431" s="3" t="s">
        <v>35</v>
      </c>
      <c r="D431" s="3" t="s">
        <v>103</v>
      </c>
      <c r="E431" s="3">
        <v>10</v>
      </c>
      <c r="F431" s="3">
        <v>2024</v>
      </c>
      <c r="G431" s="9" t="s">
        <v>99</v>
      </c>
      <c r="H431" s="3">
        <v>11929</v>
      </c>
      <c r="I431" s="3">
        <v>10902</v>
      </c>
      <c r="J431" s="3">
        <v>1027</v>
      </c>
      <c r="K431" s="3">
        <v>8.6</v>
      </c>
      <c r="L431" s="3" t="s">
        <v>83</v>
      </c>
      <c r="M431">
        <f t="shared" si="40"/>
        <v>10510</v>
      </c>
      <c r="N431">
        <f t="shared" si="39"/>
        <v>10575.008013816405</v>
      </c>
      <c r="O431">
        <f t="shared" si="36"/>
        <v>1027</v>
      </c>
      <c r="P431" s="6">
        <f t="shared" si="37"/>
        <v>8.6092715231788075E-2</v>
      </c>
      <c r="Q431" s="6">
        <f t="shared" si="38"/>
        <v>0.11350423222261674</v>
      </c>
    </row>
    <row r="432" spans="1:17" x14ac:dyDescent="0.25">
      <c r="A432" s="2">
        <v>431</v>
      </c>
      <c r="B432" s="2" t="s">
        <v>34</v>
      </c>
      <c r="C432" s="2" t="s">
        <v>35</v>
      </c>
      <c r="D432" s="2" t="s">
        <v>103</v>
      </c>
      <c r="E432" s="2">
        <v>11</v>
      </c>
      <c r="F432" s="2">
        <v>2024</v>
      </c>
      <c r="G432" s="8" t="s">
        <v>100</v>
      </c>
      <c r="H432" s="2">
        <v>13479</v>
      </c>
      <c r="I432" s="2">
        <v>12213</v>
      </c>
      <c r="J432" s="2">
        <v>1266</v>
      </c>
      <c r="K432" s="2">
        <v>9.4</v>
      </c>
      <c r="L432" s="2" t="s">
        <v>83</v>
      </c>
      <c r="M432">
        <f t="shared" si="40"/>
        <v>10934.333333333334</v>
      </c>
      <c r="N432">
        <f t="shared" si="39"/>
        <v>10981.205609671482</v>
      </c>
      <c r="O432">
        <f t="shared" si="36"/>
        <v>1266</v>
      </c>
      <c r="P432" s="6">
        <f t="shared" si="37"/>
        <v>9.3923881593590025E-2</v>
      </c>
      <c r="Q432" s="6">
        <f t="shared" si="38"/>
        <v>0.1853100667949045</v>
      </c>
    </row>
    <row r="433" spans="1:17" x14ac:dyDescent="0.25">
      <c r="A433" s="3">
        <v>432</v>
      </c>
      <c r="B433" s="3" t="s">
        <v>34</v>
      </c>
      <c r="C433" s="3" t="s">
        <v>35</v>
      </c>
      <c r="D433" s="3" t="s">
        <v>103</v>
      </c>
      <c r="E433" s="3">
        <v>12</v>
      </c>
      <c r="F433" s="3">
        <v>2024</v>
      </c>
      <c r="G433" s="9" t="s">
        <v>101</v>
      </c>
      <c r="H433" s="3">
        <v>13684</v>
      </c>
      <c r="I433" s="3">
        <v>13345</v>
      </c>
      <c r="J433" s="3">
        <v>339</v>
      </c>
      <c r="K433" s="3">
        <v>2.5</v>
      </c>
      <c r="L433" s="3" t="s">
        <v>76</v>
      </c>
      <c r="M433">
        <f t="shared" si="40"/>
        <v>11539.666666666666</v>
      </c>
      <c r="N433">
        <f t="shared" si="39"/>
        <v>11730.543926770037</v>
      </c>
      <c r="O433">
        <f t="shared" si="36"/>
        <v>339</v>
      </c>
      <c r="P433" s="6">
        <f t="shared" si="37"/>
        <v>2.4773458053200817E-2</v>
      </c>
      <c r="Q433" s="6">
        <f t="shared" si="38"/>
        <v>0.14275475542458077</v>
      </c>
    </row>
    <row r="434" spans="1:17" x14ac:dyDescent="0.25">
      <c r="A434" s="2">
        <v>433</v>
      </c>
      <c r="B434" s="2" t="s">
        <v>36</v>
      </c>
      <c r="C434" s="2" t="s">
        <v>37</v>
      </c>
      <c r="D434" s="2" t="s">
        <v>74</v>
      </c>
      <c r="E434" s="2">
        <v>1</v>
      </c>
      <c r="F434" s="2">
        <v>2023</v>
      </c>
      <c r="G434" s="8" t="s">
        <v>75</v>
      </c>
      <c r="H434" s="2">
        <v>1471</v>
      </c>
      <c r="I434" s="2">
        <v>1432</v>
      </c>
      <c r="J434" s="2">
        <v>39</v>
      </c>
      <c r="K434" s="2">
        <v>2.7</v>
      </c>
      <c r="L434" s="2" t="s">
        <v>83</v>
      </c>
      <c r="M434">
        <f t="shared" si="40"/>
        <v>13030.666666666666</v>
      </c>
      <c r="N434">
        <f t="shared" si="39"/>
        <v>12316.580748739027</v>
      </c>
      <c r="O434">
        <f t="shared" si="36"/>
        <v>39</v>
      </c>
      <c r="P434" s="6">
        <f t="shared" si="37"/>
        <v>2.6512576478585997E-2</v>
      </c>
      <c r="Q434" s="6">
        <f t="shared" si="38"/>
        <v>7.3729304886057285</v>
      </c>
    </row>
    <row r="435" spans="1:17" x14ac:dyDescent="0.25">
      <c r="A435" s="3">
        <v>434</v>
      </c>
      <c r="B435" s="3" t="s">
        <v>36</v>
      </c>
      <c r="C435" s="3" t="s">
        <v>37</v>
      </c>
      <c r="D435" s="3" t="s">
        <v>74</v>
      </c>
      <c r="E435" s="3">
        <v>2</v>
      </c>
      <c r="F435" s="3">
        <v>2023</v>
      </c>
      <c r="G435" s="9" t="s">
        <v>77</v>
      </c>
      <c r="H435" s="3">
        <v>1413</v>
      </c>
      <c r="I435" s="3">
        <v>1537</v>
      </c>
      <c r="J435" s="3">
        <v>-124</v>
      </c>
      <c r="K435" s="3">
        <v>8.8000000000000007</v>
      </c>
      <c r="L435" s="3" t="s">
        <v>83</v>
      </c>
      <c r="M435">
        <f t="shared" si="40"/>
        <v>9544.6666666666661</v>
      </c>
      <c r="N435">
        <f t="shared" si="39"/>
        <v>9062.9065241173175</v>
      </c>
      <c r="O435">
        <f t="shared" si="36"/>
        <v>124</v>
      </c>
      <c r="P435" s="6">
        <f t="shared" si="37"/>
        <v>8.7756546355272469E-2</v>
      </c>
      <c r="Q435" s="6">
        <f t="shared" si="38"/>
        <v>5.4139465846548607</v>
      </c>
    </row>
    <row r="436" spans="1:17" x14ac:dyDescent="0.25">
      <c r="A436" s="2">
        <v>435</v>
      </c>
      <c r="B436" s="2" t="s">
        <v>36</v>
      </c>
      <c r="C436" s="2" t="s">
        <v>37</v>
      </c>
      <c r="D436" s="2" t="s">
        <v>74</v>
      </c>
      <c r="E436" s="2">
        <v>3</v>
      </c>
      <c r="F436" s="2">
        <v>2023</v>
      </c>
      <c r="G436" s="8" t="s">
        <v>79</v>
      </c>
      <c r="H436" s="2">
        <v>1539</v>
      </c>
      <c r="I436" s="2">
        <v>1401</v>
      </c>
      <c r="J436" s="2">
        <v>138</v>
      </c>
      <c r="K436" s="2">
        <v>9</v>
      </c>
      <c r="L436" s="2" t="s">
        <v>78</v>
      </c>
      <c r="M436">
        <f t="shared" si="40"/>
        <v>5522.666666666667</v>
      </c>
      <c r="N436">
        <f t="shared" si="39"/>
        <v>6767.9345668821215</v>
      </c>
      <c r="O436">
        <f t="shared" si="36"/>
        <v>138</v>
      </c>
      <c r="P436" s="6">
        <f t="shared" si="37"/>
        <v>8.9668615984405453E-2</v>
      </c>
      <c r="Q436" s="6">
        <f t="shared" si="38"/>
        <v>3.3976183020676554</v>
      </c>
    </row>
    <row r="437" spans="1:17" x14ac:dyDescent="0.25">
      <c r="A437" s="3">
        <v>436</v>
      </c>
      <c r="B437" s="3" t="s">
        <v>36</v>
      </c>
      <c r="C437" s="3" t="s">
        <v>37</v>
      </c>
      <c r="D437" s="3" t="s">
        <v>74</v>
      </c>
      <c r="E437" s="3">
        <v>4</v>
      </c>
      <c r="F437" s="3">
        <v>2023</v>
      </c>
      <c r="G437" s="9" t="s">
        <v>80</v>
      </c>
      <c r="H437" s="3">
        <v>1909</v>
      </c>
      <c r="I437" s="3">
        <v>1737</v>
      </c>
      <c r="J437" s="3">
        <v>172</v>
      </c>
      <c r="K437" s="3">
        <v>9</v>
      </c>
      <c r="L437" s="3" t="s">
        <v>78</v>
      </c>
      <c r="M437">
        <f t="shared" si="40"/>
        <v>1474.3333333333333</v>
      </c>
      <c r="N437">
        <f t="shared" si="39"/>
        <v>5199.2541968174846</v>
      </c>
      <c r="O437">
        <f t="shared" si="36"/>
        <v>172</v>
      </c>
      <c r="P437" s="6">
        <f t="shared" si="37"/>
        <v>9.0099528548978527E-2</v>
      </c>
      <c r="Q437" s="6">
        <f t="shared" si="38"/>
        <v>1.7235485577881009</v>
      </c>
    </row>
    <row r="438" spans="1:17" x14ac:dyDescent="0.25">
      <c r="A438" s="2">
        <v>437</v>
      </c>
      <c r="B438" s="2" t="s">
        <v>36</v>
      </c>
      <c r="C438" s="2" t="s">
        <v>37</v>
      </c>
      <c r="D438" s="2" t="s">
        <v>74</v>
      </c>
      <c r="E438" s="2">
        <v>5</v>
      </c>
      <c r="F438" s="2">
        <v>2023</v>
      </c>
      <c r="G438" s="8" t="s">
        <v>81</v>
      </c>
      <c r="H438" s="2">
        <v>1786</v>
      </c>
      <c r="I438" s="2">
        <v>1843</v>
      </c>
      <c r="J438" s="2">
        <v>-57</v>
      </c>
      <c r="K438" s="2">
        <v>3.2</v>
      </c>
      <c r="L438" s="2" t="s">
        <v>76</v>
      </c>
      <c r="M438">
        <f t="shared" si="40"/>
        <v>1620.3333333333333</v>
      </c>
      <c r="N438">
        <f t="shared" si="39"/>
        <v>4212.1779377722387</v>
      </c>
      <c r="O438">
        <f t="shared" si="36"/>
        <v>57</v>
      </c>
      <c r="P438" s="6">
        <f t="shared" si="37"/>
        <v>3.1914893617021274E-2</v>
      </c>
      <c r="Q438" s="6">
        <f t="shared" si="38"/>
        <v>1.358442294385352</v>
      </c>
    </row>
    <row r="439" spans="1:17" x14ac:dyDescent="0.25">
      <c r="A439" s="3">
        <v>438</v>
      </c>
      <c r="B439" s="3" t="s">
        <v>36</v>
      </c>
      <c r="C439" s="3" t="s">
        <v>37</v>
      </c>
      <c r="D439" s="3" t="s">
        <v>74</v>
      </c>
      <c r="E439" s="3">
        <v>6</v>
      </c>
      <c r="F439" s="3">
        <v>2023</v>
      </c>
      <c r="G439" s="9" t="s">
        <v>82</v>
      </c>
      <c r="H439" s="3">
        <v>2030</v>
      </c>
      <c r="I439" s="3">
        <v>1995</v>
      </c>
      <c r="J439" s="3">
        <v>35</v>
      </c>
      <c r="K439" s="3">
        <v>1.7</v>
      </c>
      <c r="L439" s="3" t="s">
        <v>78</v>
      </c>
      <c r="M439">
        <f t="shared" si="40"/>
        <v>1744.6666666666667</v>
      </c>
      <c r="N439">
        <f t="shared" si="39"/>
        <v>3484.324556440567</v>
      </c>
      <c r="O439">
        <f t="shared" si="36"/>
        <v>35</v>
      </c>
      <c r="P439" s="6">
        <f t="shared" si="37"/>
        <v>1.7241379310344827E-2</v>
      </c>
      <c r="Q439" s="6">
        <f t="shared" si="38"/>
        <v>0.7164160376554517</v>
      </c>
    </row>
    <row r="440" spans="1:17" x14ac:dyDescent="0.25">
      <c r="A440" s="2">
        <v>439</v>
      </c>
      <c r="B440" s="2" t="s">
        <v>36</v>
      </c>
      <c r="C440" s="2" t="s">
        <v>37</v>
      </c>
      <c r="D440" s="2" t="s">
        <v>74</v>
      </c>
      <c r="E440" s="2">
        <v>7</v>
      </c>
      <c r="F440" s="2">
        <v>2023</v>
      </c>
      <c r="G440" s="8" t="s">
        <v>84</v>
      </c>
      <c r="H440" s="2">
        <v>2062</v>
      </c>
      <c r="I440" s="2">
        <v>1902</v>
      </c>
      <c r="J440" s="2">
        <v>160</v>
      </c>
      <c r="K440" s="2">
        <v>7.8</v>
      </c>
      <c r="L440" s="2" t="s">
        <v>76</v>
      </c>
      <c r="M440">
        <f t="shared" si="40"/>
        <v>1908.3333333333333</v>
      </c>
      <c r="N440">
        <f t="shared" si="39"/>
        <v>3048.0271895083965</v>
      </c>
      <c r="O440">
        <f t="shared" si="36"/>
        <v>160</v>
      </c>
      <c r="P440" s="6">
        <f t="shared" si="37"/>
        <v>7.7594568380213391E-2</v>
      </c>
      <c r="Q440" s="6">
        <f t="shared" si="38"/>
        <v>0.47818971363161811</v>
      </c>
    </row>
    <row r="441" spans="1:17" x14ac:dyDescent="0.25">
      <c r="A441" s="3">
        <v>440</v>
      </c>
      <c r="B441" s="3" t="s">
        <v>36</v>
      </c>
      <c r="C441" s="3" t="s">
        <v>37</v>
      </c>
      <c r="D441" s="3" t="s">
        <v>74</v>
      </c>
      <c r="E441" s="3">
        <v>8</v>
      </c>
      <c r="F441" s="3">
        <v>2023</v>
      </c>
      <c r="G441" s="9" t="s">
        <v>85</v>
      </c>
      <c r="H441" s="3">
        <v>1713</v>
      </c>
      <c r="I441" s="3">
        <v>1774</v>
      </c>
      <c r="J441" s="3">
        <v>-61</v>
      </c>
      <c r="K441" s="3">
        <v>3.6</v>
      </c>
      <c r="L441" s="3" t="s">
        <v>83</v>
      </c>
      <c r="M441">
        <f t="shared" si="40"/>
        <v>1959.3333333333333</v>
      </c>
      <c r="N441">
        <f t="shared" si="39"/>
        <v>2752.2190326558775</v>
      </c>
      <c r="O441">
        <f t="shared" si="36"/>
        <v>61</v>
      </c>
      <c r="P441" s="6">
        <f t="shared" si="37"/>
        <v>3.561004086398132E-2</v>
      </c>
      <c r="Q441" s="6">
        <f t="shared" si="38"/>
        <v>0.60666610195906456</v>
      </c>
    </row>
    <row r="442" spans="1:17" x14ac:dyDescent="0.25">
      <c r="A442" s="2">
        <v>441</v>
      </c>
      <c r="B442" s="2" t="s">
        <v>36</v>
      </c>
      <c r="C442" s="2" t="s">
        <v>37</v>
      </c>
      <c r="D442" s="2" t="s">
        <v>74</v>
      </c>
      <c r="E442" s="2">
        <v>9</v>
      </c>
      <c r="F442" s="2">
        <v>2023</v>
      </c>
      <c r="G442" s="8" t="s">
        <v>86</v>
      </c>
      <c r="H442" s="2">
        <v>1794</v>
      </c>
      <c r="I442" s="2">
        <v>1853</v>
      </c>
      <c r="J442" s="2">
        <v>-59</v>
      </c>
      <c r="K442" s="2">
        <v>3.3</v>
      </c>
      <c r="L442" s="2" t="s">
        <v>78</v>
      </c>
      <c r="M442">
        <f t="shared" si="40"/>
        <v>1935</v>
      </c>
      <c r="N442">
        <f t="shared" si="39"/>
        <v>2440.453322859114</v>
      </c>
      <c r="O442">
        <f t="shared" si="36"/>
        <v>59</v>
      </c>
      <c r="P442" s="6">
        <f t="shared" si="37"/>
        <v>3.2887402452619841E-2</v>
      </c>
      <c r="Q442" s="6">
        <f t="shared" si="38"/>
        <v>0.36034187450340804</v>
      </c>
    </row>
    <row r="443" spans="1:17" x14ac:dyDescent="0.25">
      <c r="A443" s="3">
        <v>442</v>
      </c>
      <c r="B443" s="3" t="s">
        <v>36</v>
      </c>
      <c r="C443" s="3" t="s">
        <v>37</v>
      </c>
      <c r="D443" s="3" t="s">
        <v>74</v>
      </c>
      <c r="E443" s="3">
        <v>10</v>
      </c>
      <c r="F443" s="3">
        <v>2023</v>
      </c>
      <c r="G443" s="9" t="s">
        <v>87</v>
      </c>
      <c r="H443" s="3">
        <v>1847</v>
      </c>
      <c r="I443" s="3">
        <v>2025</v>
      </c>
      <c r="J443" s="3">
        <v>-178</v>
      </c>
      <c r="K443" s="3">
        <v>9.6</v>
      </c>
      <c r="L443" s="3" t="s">
        <v>78</v>
      </c>
      <c r="M443">
        <f t="shared" si="40"/>
        <v>1856.3333333333333</v>
      </c>
      <c r="N443">
        <f t="shared" si="39"/>
        <v>2246.5173260013798</v>
      </c>
      <c r="O443">
        <f t="shared" si="36"/>
        <v>178</v>
      </c>
      <c r="P443" s="6">
        <f t="shared" si="37"/>
        <v>9.6372495939361133E-2</v>
      </c>
      <c r="Q443" s="6">
        <f t="shared" si="38"/>
        <v>0.21630607796501344</v>
      </c>
    </row>
    <row r="444" spans="1:17" x14ac:dyDescent="0.25">
      <c r="A444" s="2">
        <v>443</v>
      </c>
      <c r="B444" s="2" t="s">
        <v>36</v>
      </c>
      <c r="C444" s="2" t="s">
        <v>37</v>
      </c>
      <c r="D444" s="2" t="s">
        <v>74</v>
      </c>
      <c r="E444" s="2">
        <v>11</v>
      </c>
      <c r="F444" s="2">
        <v>2023</v>
      </c>
      <c r="G444" s="8" t="s">
        <v>88</v>
      </c>
      <c r="H444" s="2">
        <v>1984</v>
      </c>
      <c r="I444" s="2">
        <v>1905</v>
      </c>
      <c r="J444" s="2">
        <v>79</v>
      </c>
      <c r="K444" s="2">
        <v>4</v>
      </c>
      <c r="L444" s="2" t="s">
        <v>78</v>
      </c>
      <c r="M444">
        <f t="shared" si="40"/>
        <v>1784.6666666666667</v>
      </c>
      <c r="N444">
        <f t="shared" si="39"/>
        <v>2126.662128200966</v>
      </c>
      <c r="O444">
        <f t="shared" si="36"/>
        <v>79</v>
      </c>
      <c r="P444" s="6">
        <f t="shared" si="37"/>
        <v>3.9818548387096774E-2</v>
      </c>
      <c r="Q444" s="6">
        <f t="shared" si="38"/>
        <v>7.1906314617422376E-2</v>
      </c>
    </row>
    <row r="445" spans="1:17" x14ac:dyDescent="0.25">
      <c r="A445" s="3">
        <v>444</v>
      </c>
      <c r="B445" s="3" t="s">
        <v>36</v>
      </c>
      <c r="C445" s="3" t="s">
        <v>37</v>
      </c>
      <c r="D445" s="3" t="s">
        <v>74</v>
      </c>
      <c r="E445" s="3">
        <v>12</v>
      </c>
      <c r="F445" s="3">
        <v>2023</v>
      </c>
      <c r="G445" s="9" t="s">
        <v>89</v>
      </c>
      <c r="H445" s="3">
        <v>2490</v>
      </c>
      <c r="I445" s="3">
        <v>2621</v>
      </c>
      <c r="J445" s="3">
        <v>-131</v>
      </c>
      <c r="K445" s="3">
        <v>5.3</v>
      </c>
      <c r="L445" s="3" t="s">
        <v>76</v>
      </c>
      <c r="M445">
        <f t="shared" si="40"/>
        <v>1875</v>
      </c>
      <c r="N445">
        <f t="shared" si="39"/>
        <v>2083.863489740676</v>
      </c>
      <c r="O445">
        <f t="shared" si="36"/>
        <v>131</v>
      </c>
      <c r="P445" s="6">
        <f t="shared" si="37"/>
        <v>5.2610441767068271E-2</v>
      </c>
      <c r="Q445" s="6">
        <f t="shared" si="38"/>
        <v>0.16310703223266027</v>
      </c>
    </row>
    <row r="446" spans="1:17" x14ac:dyDescent="0.25">
      <c r="A446" s="2">
        <v>445</v>
      </c>
      <c r="B446" s="2" t="s">
        <v>36</v>
      </c>
      <c r="C446" s="2" t="s">
        <v>37</v>
      </c>
      <c r="D446" s="2" t="s">
        <v>74</v>
      </c>
      <c r="E446" s="2">
        <v>1</v>
      </c>
      <c r="F446" s="2">
        <v>2024</v>
      </c>
      <c r="G446" s="8" t="s">
        <v>90</v>
      </c>
      <c r="H446" s="2">
        <v>1466</v>
      </c>
      <c r="I446" s="2">
        <v>1321</v>
      </c>
      <c r="J446" s="2">
        <v>145</v>
      </c>
      <c r="K446" s="2">
        <v>9.9</v>
      </c>
      <c r="L446" s="2" t="s">
        <v>83</v>
      </c>
      <c r="M446">
        <f t="shared" si="40"/>
        <v>2107</v>
      </c>
      <c r="N446">
        <f t="shared" si="39"/>
        <v>2205.7044428184731</v>
      </c>
      <c r="O446">
        <f t="shared" si="36"/>
        <v>145</v>
      </c>
      <c r="P446" s="6">
        <f t="shared" si="37"/>
        <v>9.8908594815825382E-2</v>
      </c>
      <c r="Q446" s="6">
        <f t="shared" si="38"/>
        <v>0.50457328978067739</v>
      </c>
    </row>
    <row r="447" spans="1:17" x14ac:dyDescent="0.25">
      <c r="A447" s="3">
        <v>446</v>
      </c>
      <c r="B447" s="3" t="s">
        <v>36</v>
      </c>
      <c r="C447" s="3" t="s">
        <v>37</v>
      </c>
      <c r="D447" s="3" t="s">
        <v>74</v>
      </c>
      <c r="E447" s="3">
        <v>2</v>
      </c>
      <c r="F447" s="3">
        <v>2024</v>
      </c>
      <c r="G447" s="9" t="s">
        <v>91</v>
      </c>
      <c r="H447" s="3">
        <v>1451</v>
      </c>
      <c r="I447" s="3">
        <v>1343</v>
      </c>
      <c r="J447" s="3">
        <v>108</v>
      </c>
      <c r="K447" s="3">
        <v>7.4</v>
      </c>
      <c r="L447" s="3" t="s">
        <v>83</v>
      </c>
      <c r="M447">
        <f t="shared" si="40"/>
        <v>1980</v>
      </c>
      <c r="N447">
        <f t="shared" si="39"/>
        <v>1983.793109972931</v>
      </c>
      <c r="O447">
        <f t="shared" si="36"/>
        <v>108</v>
      </c>
      <c r="P447" s="6">
        <f t="shared" si="37"/>
        <v>7.4431426602343212E-2</v>
      </c>
      <c r="Q447" s="6">
        <f t="shared" si="38"/>
        <v>0.36719028943689247</v>
      </c>
    </row>
    <row r="448" spans="1:17" x14ac:dyDescent="0.25">
      <c r="A448" s="2">
        <v>447</v>
      </c>
      <c r="B448" s="2" t="s">
        <v>36</v>
      </c>
      <c r="C448" s="2" t="s">
        <v>37</v>
      </c>
      <c r="D448" s="2" t="s">
        <v>74</v>
      </c>
      <c r="E448" s="2">
        <v>3</v>
      </c>
      <c r="F448" s="2">
        <v>2024</v>
      </c>
      <c r="G448" s="8" t="s">
        <v>92</v>
      </c>
      <c r="H448" s="2">
        <v>1793</v>
      </c>
      <c r="I448" s="2">
        <v>1793</v>
      </c>
      <c r="J448" s="2">
        <v>0</v>
      </c>
      <c r="K448" s="2">
        <v>0</v>
      </c>
      <c r="L448" s="2" t="s">
        <v>83</v>
      </c>
      <c r="M448">
        <f t="shared" si="40"/>
        <v>1802.3333333333333</v>
      </c>
      <c r="N448">
        <f t="shared" si="39"/>
        <v>1823.9551769810516</v>
      </c>
      <c r="O448">
        <f t="shared" si="36"/>
        <v>0</v>
      </c>
      <c r="P448" s="6">
        <f t="shared" si="37"/>
        <v>0</v>
      </c>
      <c r="Q448" s="6">
        <f t="shared" si="38"/>
        <v>1.7264460112131421E-2</v>
      </c>
    </row>
    <row r="449" spans="1:17" x14ac:dyDescent="0.25">
      <c r="A449" s="3">
        <v>448</v>
      </c>
      <c r="B449" s="3" t="s">
        <v>36</v>
      </c>
      <c r="C449" s="3" t="s">
        <v>37</v>
      </c>
      <c r="D449" s="3" t="s">
        <v>74</v>
      </c>
      <c r="E449" s="3">
        <v>4</v>
      </c>
      <c r="F449" s="3">
        <v>2024</v>
      </c>
      <c r="G449" s="9" t="s">
        <v>93</v>
      </c>
      <c r="H449" s="3">
        <v>1932</v>
      </c>
      <c r="I449" s="3">
        <v>1766</v>
      </c>
      <c r="J449" s="3">
        <v>166</v>
      </c>
      <c r="K449" s="3">
        <v>8.6</v>
      </c>
      <c r="L449" s="3" t="s">
        <v>83</v>
      </c>
      <c r="M449">
        <f t="shared" si="40"/>
        <v>1570</v>
      </c>
      <c r="N449">
        <f t="shared" si="39"/>
        <v>1814.668623886736</v>
      </c>
      <c r="O449">
        <f t="shared" si="36"/>
        <v>166</v>
      </c>
      <c r="P449" s="6">
        <f t="shared" si="37"/>
        <v>8.5921325051759839E-2</v>
      </c>
      <c r="Q449" s="6">
        <f t="shared" si="38"/>
        <v>6.0730525938542453E-2</v>
      </c>
    </row>
    <row r="450" spans="1:17" x14ac:dyDescent="0.25">
      <c r="A450" s="2">
        <v>449</v>
      </c>
      <c r="B450" s="2" t="s">
        <v>36</v>
      </c>
      <c r="C450" s="2" t="s">
        <v>37</v>
      </c>
      <c r="D450" s="2" t="s">
        <v>74</v>
      </c>
      <c r="E450" s="2">
        <v>5</v>
      </c>
      <c r="F450" s="2">
        <v>2024</v>
      </c>
      <c r="G450" s="8" t="s">
        <v>94</v>
      </c>
      <c r="H450" s="2">
        <v>1682</v>
      </c>
      <c r="I450" s="2">
        <v>1520</v>
      </c>
      <c r="J450" s="2">
        <v>162</v>
      </c>
      <c r="K450" s="2">
        <v>9.6</v>
      </c>
      <c r="L450" s="2" t="s">
        <v>78</v>
      </c>
      <c r="M450">
        <f t="shared" si="40"/>
        <v>1725.3333333333333</v>
      </c>
      <c r="N450">
        <f t="shared" si="39"/>
        <v>1849.8680367207153</v>
      </c>
      <c r="O450">
        <f t="shared" si="36"/>
        <v>162</v>
      </c>
      <c r="P450" s="6">
        <f t="shared" si="37"/>
        <v>9.631391200951249E-2</v>
      </c>
      <c r="Q450" s="6">
        <f t="shared" si="38"/>
        <v>9.9802637764991251E-2</v>
      </c>
    </row>
    <row r="451" spans="1:17" x14ac:dyDescent="0.25">
      <c r="A451" s="3">
        <v>450</v>
      </c>
      <c r="B451" s="3" t="s">
        <v>36</v>
      </c>
      <c r="C451" s="3" t="s">
        <v>37</v>
      </c>
      <c r="D451" s="3" t="s">
        <v>74</v>
      </c>
      <c r="E451" s="3">
        <v>6</v>
      </c>
      <c r="F451" s="3">
        <v>2024</v>
      </c>
      <c r="G451" s="9" t="s">
        <v>95</v>
      </c>
      <c r="H451" s="3">
        <v>2152</v>
      </c>
      <c r="I451" s="3">
        <v>2184</v>
      </c>
      <c r="J451" s="3">
        <v>-32</v>
      </c>
      <c r="K451" s="3">
        <v>1.5</v>
      </c>
      <c r="L451" s="3" t="s">
        <v>83</v>
      </c>
      <c r="M451">
        <f t="shared" si="40"/>
        <v>1802.3333333333333</v>
      </c>
      <c r="N451">
        <f t="shared" si="39"/>
        <v>1799.5076257045005</v>
      </c>
      <c r="O451">
        <f t="shared" ref="O451:O514" si="41">ABS(H451-I451)</f>
        <v>32</v>
      </c>
      <c r="P451" s="6">
        <f t="shared" ref="P451:P514" si="42">ABS(O451)/H451</f>
        <v>1.4869888475836431E-2</v>
      </c>
      <c r="Q451" s="6">
        <f t="shared" ref="Q451:Q514" si="43">ABS((H451-N451))/H451</f>
        <v>0.16379757169865219</v>
      </c>
    </row>
    <row r="452" spans="1:17" x14ac:dyDescent="0.25">
      <c r="A452" s="2">
        <v>451</v>
      </c>
      <c r="B452" s="2" t="s">
        <v>36</v>
      </c>
      <c r="C452" s="2" t="s">
        <v>37</v>
      </c>
      <c r="D452" s="2" t="s">
        <v>74</v>
      </c>
      <c r="E452" s="2">
        <v>7</v>
      </c>
      <c r="F452" s="2">
        <v>2024</v>
      </c>
      <c r="G452" s="8" t="s">
        <v>96</v>
      </c>
      <c r="H452" s="2">
        <v>1899</v>
      </c>
      <c r="I452" s="2">
        <v>1952</v>
      </c>
      <c r="J452" s="2">
        <v>-53</v>
      </c>
      <c r="K452" s="2">
        <v>2.8</v>
      </c>
      <c r="L452" s="2" t="s">
        <v>76</v>
      </c>
      <c r="M452">
        <f t="shared" si="40"/>
        <v>1922</v>
      </c>
      <c r="N452">
        <f t="shared" ref="N452:N515" si="44">0.3*H451+(0.7*N451)</f>
        <v>1905.2553379931501</v>
      </c>
      <c r="O452">
        <f t="shared" si="41"/>
        <v>53</v>
      </c>
      <c r="P452" s="6">
        <f t="shared" si="42"/>
        <v>2.7909426013691417E-2</v>
      </c>
      <c r="Q452" s="6">
        <f t="shared" si="43"/>
        <v>3.2940168473670766E-3</v>
      </c>
    </row>
    <row r="453" spans="1:17" x14ac:dyDescent="0.25">
      <c r="A453" s="3">
        <v>452</v>
      </c>
      <c r="B453" s="3" t="s">
        <v>36</v>
      </c>
      <c r="C453" s="3" t="s">
        <v>37</v>
      </c>
      <c r="D453" s="3" t="s">
        <v>74</v>
      </c>
      <c r="E453" s="3">
        <v>8</v>
      </c>
      <c r="F453" s="3">
        <v>2024</v>
      </c>
      <c r="G453" s="9" t="s">
        <v>97</v>
      </c>
      <c r="H453" s="3">
        <v>1715</v>
      </c>
      <c r="I453" s="3">
        <v>1550</v>
      </c>
      <c r="J453" s="3">
        <v>165</v>
      </c>
      <c r="K453" s="3">
        <v>9.6</v>
      </c>
      <c r="L453" s="3" t="s">
        <v>76</v>
      </c>
      <c r="M453">
        <f t="shared" si="40"/>
        <v>1911</v>
      </c>
      <c r="N453">
        <f t="shared" si="44"/>
        <v>1903.3787365952048</v>
      </c>
      <c r="O453">
        <f t="shared" si="41"/>
        <v>165</v>
      </c>
      <c r="P453" s="6">
        <f t="shared" si="42"/>
        <v>9.6209912536443148E-2</v>
      </c>
      <c r="Q453" s="6">
        <f t="shared" si="43"/>
        <v>0.10984182891848678</v>
      </c>
    </row>
    <row r="454" spans="1:17" x14ac:dyDescent="0.25">
      <c r="A454" s="2">
        <v>453</v>
      </c>
      <c r="B454" s="2" t="s">
        <v>36</v>
      </c>
      <c r="C454" s="2" t="s">
        <v>37</v>
      </c>
      <c r="D454" s="2" t="s">
        <v>74</v>
      </c>
      <c r="E454" s="2">
        <v>9</v>
      </c>
      <c r="F454" s="2">
        <v>2024</v>
      </c>
      <c r="G454" s="8" t="s">
        <v>98</v>
      </c>
      <c r="H454" s="2">
        <v>1658</v>
      </c>
      <c r="I454" s="2">
        <v>1806</v>
      </c>
      <c r="J454" s="2">
        <v>-148</v>
      </c>
      <c r="K454" s="2">
        <v>8.9</v>
      </c>
      <c r="L454" s="2" t="s">
        <v>76</v>
      </c>
      <c r="M454">
        <f t="shared" ref="M454:M517" si="45">AVERAGE(H451:H453)</f>
        <v>1922</v>
      </c>
      <c r="N454">
        <f t="shared" si="44"/>
        <v>1846.8651156166434</v>
      </c>
      <c r="O454">
        <f t="shared" si="41"/>
        <v>148</v>
      </c>
      <c r="P454" s="6">
        <f t="shared" si="42"/>
        <v>8.9264173703256941E-2</v>
      </c>
      <c r="Q454" s="6">
        <f t="shared" si="43"/>
        <v>0.11391140869520107</v>
      </c>
    </row>
    <row r="455" spans="1:17" x14ac:dyDescent="0.25">
      <c r="A455" s="3">
        <v>454</v>
      </c>
      <c r="B455" s="3" t="s">
        <v>36</v>
      </c>
      <c r="C455" s="3" t="s">
        <v>37</v>
      </c>
      <c r="D455" s="3" t="s">
        <v>74</v>
      </c>
      <c r="E455" s="3">
        <v>10</v>
      </c>
      <c r="F455" s="3">
        <v>2024</v>
      </c>
      <c r="G455" s="9" t="s">
        <v>99</v>
      </c>
      <c r="H455" s="3">
        <v>2137</v>
      </c>
      <c r="I455" s="3">
        <v>2316</v>
      </c>
      <c r="J455" s="3">
        <v>-179</v>
      </c>
      <c r="K455" s="3">
        <v>8.4</v>
      </c>
      <c r="L455" s="3" t="s">
        <v>78</v>
      </c>
      <c r="M455">
        <f t="shared" si="45"/>
        <v>1757.3333333333333</v>
      </c>
      <c r="N455">
        <f t="shared" si="44"/>
        <v>1790.2055809316503</v>
      </c>
      <c r="O455">
        <f t="shared" si="41"/>
        <v>179</v>
      </c>
      <c r="P455" s="6">
        <f t="shared" si="42"/>
        <v>8.376228357510529E-2</v>
      </c>
      <c r="Q455" s="6">
        <f t="shared" si="43"/>
        <v>0.16228096353221794</v>
      </c>
    </row>
    <row r="456" spans="1:17" x14ac:dyDescent="0.25">
      <c r="A456" s="2">
        <v>455</v>
      </c>
      <c r="B456" s="2" t="s">
        <v>36</v>
      </c>
      <c r="C456" s="2" t="s">
        <v>37</v>
      </c>
      <c r="D456" s="2" t="s">
        <v>74</v>
      </c>
      <c r="E456" s="2">
        <v>11</v>
      </c>
      <c r="F456" s="2">
        <v>2024</v>
      </c>
      <c r="G456" s="8" t="s">
        <v>100</v>
      </c>
      <c r="H456" s="2">
        <v>2215</v>
      </c>
      <c r="I456" s="2">
        <v>2040</v>
      </c>
      <c r="J456" s="2">
        <v>175</v>
      </c>
      <c r="K456" s="2">
        <v>7.9</v>
      </c>
      <c r="L456" s="2" t="s">
        <v>76</v>
      </c>
      <c r="M456">
        <f t="shared" si="45"/>
        <v>1836.6666666666667</v>
      </c>
      <c r="N456">
        <f t="shared" si="44"/>
        <v>1894.2439066521551</v>
      </c>
      <c r="O456">
        <f t="shared" si="41"/>
        <v>175</v>
      </c>
      <c r="P456" s="6">
        <f t="shared" si="42"/>
        <v>7.900677200902935E-2</v>
      </c>
      <c r="Q456" s="6">
        <f t="shared" si="43"/>
        <v>0.14481087735794351</v>
      </c>
    </row>
    <row r="457" spans="1:17" x14ac:dyDescent="0.25">
      <c r="A457" s="3">
        <v>456</v>
      </c>
      <c r="B457" s="3" t="s">
        <v>36</v>
      </c>
      <c r="C457" s="3" t="s">
        <v>37</v>
      </c>
      <c r="D457" s="3" t="s">
        <v>74</v>
      </c>
      <c r="E457" s="3">
        <v>12</v>
      </c>
      <c r="F457" s="3">
        <v>2024</v>
      </c>
      <c r="G457" s="9" t="s">
        <v>101</v>
      </c>
      <c r="H457" s="3">
        <v>2389</v>
      </c>
      <c r="I457" s="3">
        <v>2400</v>
      </c>
      <c r="J457" s="3">
        <v>-11</v>
      </c>
      <c r="K457" s="3">
        <v>0.5</v>
      </c>
      <c r="L457" s="3" t="s">
        <v>76</v>
      </c>
      <c r="M457">
        <f t="shared" si="45"/>
        <v>2003.3333333333333</v>
      </c>
      <c r="N457">
        <f t="shared" si="44"/>
        <v>1990.4707346565085</v>
      </c>
      <c r="O457">
        <f t="shared" si="41"/>
        <v>11</v>
      </c>
      <c r="P457" s="6">
        <f t="shared" si="42"/>
        <v>4.6044370029300966E-3</v>
      </c>
      <c r="Q457" s="6">
        <f t="shared" si="43"/>
        <v>0.16681844509982902</v>
      </c>
    </row>
    <row r="458" spans="1:17" x14ac:dyDescent="0.25">
      <c r="A458" s="2">
        <v>457</v>
      </c>
      <c r="B458" s="2" t="s">
        <v>36</v>
      </c>
      <c r="C458" s="2" t="s">
        <v>37</v>
      </c>
      <c r="D458" s="2" t="s">
        <v>102</v>
      </c>
      <c r="E458" s="2">
        <v>1</v>
      </c>
      <c r="F458" s="2">
        <v>2023</v>
      </c>
      <c r="G458" s="8" t="s">
        <v>75</v>
      </c>
      <c r="H458" s="2">
        <v>1416</v>
      </c>
      <c r="I458" s="2">
        <v>1485</v>
      </c>
      <c r="J458" s="2">
        <v>-69</v>
      </c>
      <c r="K458" s="2">
        <v>4.9000000000000004</v>
      </c>
      <c r="L458" s="2" t="s">
        <v>78</v>
      </c>
      <c r="M458">
        <f t="shared" si="45"/>
        <v>2247</v>
      </c>
      <c r="N458">
        <f t="shared" si="44"/>
        <v>2110.029514259556</v>
      </c>
      <c r="O458">
        <f t="shared" si="41"/>
        <v>69</v>
      </c>
      <c r="P458" s="6">
        <f t="shared" si="42"/>
        <v>4.8728813559322036E-2</v>
      </c>
      <c r="Q458" s="6">
        <f t="shared" si="43"/>
        <v>0.49013383775392372</v>
      </c>
    </row>
    <row r="459" spans="1:17" x14ac:dyDescent="0.25">
      <c r="A459" s="3">
        <v>458</v>
      </c>
      <c r="B459" s="3" t="s">
        <v>36</v>
      </c>
      <c r="C459" s="3" t="s">
        <v>37</v>
      </c>
      <c r="D459" s="3" t="s">
        <v>102</v>
      </c>
      <c r="E459" s="3">
        <v>2</v>
      </c>
      <c r="F459" s="3">
        <v>2023</v>
      </c>
      <c r="G459" s="9" t="s">
        <v>77</v>
      </c>
      <c r="H459" s="3">
        <v>1204</v>
      </c>
      <c r="I459" s="3">
        <v>1124</v>
      </c>
      <c r="J459" s="3">
        <v>80</v>
      </c>
      <c r="K459" s="3">
        <v>6.6</v>
      </c>
      <c r="L459" s="3" t="s">
        <v>83</v>
      </c>
      <c r="M459">
        <f t="shared" si="45"/>
        <v>2006.6666666666667</v>
      </c>
      <c r="N459">
        <f t="shared" si="44"/>
        <v>1901.820659981689</v>
      </c>
      <c r="O459">
        <f t="shared" si="41"/>
        <v>80</v>
      </c>
      <c r="P459" s="6">
        <f t="shared" si="42"/>
        <v>6.6445182724252497E-2</v>
      </c>
      <c r="Q459" s="6">
        <f t="shared" si="43"/>
        <v>0.57958526576552238</v>
      </c>
    </row>
    <row r="460" spans="1:17" x14ac:dyDescent="0.25">
      <c r="A460" s="2">
        <v>459</v>
      </c>
      <c r="B460" s="2" t="s">
        <v>36</v>
      </c>
      <c r="C460" s="2" t="s">
        <v>37</v>
      </c>
      <c r="D460" s="2" t="s">
        <v>102</v>
      </c>
      <c r="E460" s="2">
        <v>3</v>
      </c>
      <c r="F460" s="2">
        <v>2023</v>
      </c>
      <c r="G460" s="8" t="s">
        <v>79</v>
      </c>
      <c r="H460" s="2">
        <v>1499</v>
      </c>
      <c r="I460" s="2">
        <v>1508</v>
      </c>
      <c r="J460" s="2">
        <v>-9</v>
      </c>
      <c r="K460" s="2">
        <v>0.6</v>
      </c>
      <c r="L460" s="2" t="s">
        <v>78</v>
      </c>
      <c r="M460">
        <f t="shared" si="45"/>
        <v>1669.6666666666667</v>
      </c>
      <c r="N460">
        <f t="shared" si="44"/>
        <v>1692.4744619871822</v>
      </c>
      <c r="O460">
        <f t="shared" si="41"/>
        <v>9</v>
      </c>
      <c r="P460" s="6">
        <f t="shared" si="42"/>
        <v>6.00400266844563E-3</v>
      </c>
      <c r="Q460" s="6">
        <f t="shared" si="43"/>
        <v>0.12906902067190271</v>
      </c>
    </row>
    <row r="461" spans="1:17" x14ac:dyDescent="0.25">
      <c r="A461" s="3">
        <v>460</v>
      </c>
      <c r="B461" s="3" t="s">
        <v>36</v>
      </c>
      <c r="C461" s="3" t="s">
        <v>37</v>
      </c>
      <c r="D461" s="3" t="s">
        <v>102</v>
      </c>
      <c r="E461" s="3">
        <v>4</v>
      </c>
      <c r="F461" s="3">
        <v>2023</v>
      </c>
      <c r="G461" s="9" t="s">
        <v>80</v>
      </c>
      <c r="H461" s="3">
        <v>1679</v>
      </c>
      <c r="I461" s="3">
        <v>1628</v>
      </c>
      <c r="J461" s="3">
        <v>51</v>
      </c>
      <c r="K461" s="3">
        <v>3</v>
      </c>
      <c r="L461" s="3" t="s">
        <v>83</v>
      </c>
      <c r="M461">
        <f t="shared" si="45"/>
        <v>1373</v>
      </c>
      <c r="N461">
        <f t="shared" si="44"/>
        <v>1634.4321233910275</v>
      </c>
      <c r="O461">
        <f t="shared" si="41"/>
        <v>51</v>
      </c>
      <c r="P461" s="6">
        <f t="shared" si="42"/>
        <v>3.0375223347230494E-2</v>
      </c>
      <c r="Q461" s="6">
        <f t="shared" si="43"/>
        <v>2.654429815900684E-2</v>
      </c>
    </row>
    <row r="462" spans="1:17" x14ac:dyDescent="0.25">
      <c r="A462" s="2">
        <v>461</v>
      </c>
      <c r="B462" s="2" t="s">
        <v>36</v>
      </c>
      <c r="C462" s="2" t="s">
        <v>37</v>
      </c>
      <c r="D462" s="2" t="s">
        <v>102</v>
      </c>
      <c r="E462" s="2">
        <v>5</v>
      </c>
      <c r="F462" s="2">
        <v>2023</v>
      </c>
      <c r="G462" s="8" t="s">
        <v>81</v>
      </c>
      <c r="H462" s="2">
        <v>1783</v>
      </c>
      <c r="I462" s="2">
        <v>1834</v>
      </c>
      <c r="J462" s="2">
        <v>-51</v>
      </c>
      <c r="K462" s="2">
        <v>2.9</v>
      </c>
      <c r="L462" s="2" t="s">
        <v>78</v>
      </c>
      <c r="M462">
        <f t="shared" si="45"/>
        <v>1460.6666666666667</v>
      </c>
      <c r="N462">
        <f t="shared" si="44"/>
        <v>1647.8024863737191</v>
      </c>
      <c r="O462">
        <f t="shared" si="41"/>
        <v>51</v>
      </c>
      <c r="P462" s="6">
        <f t="shared" si="42"/>
        <v>2.8603477285473921E-2</v>
      </c>
      <c r="Q462" s="6">
        <f t="shared" si="43"/>
        <v>7.5825862942389716E-2</v>
      </c>
    </row>
    <row r="463" spans="1:17" x14ac:dyDescent="0.25">
      <c r="A463" s="3">
        <v>462</v>
      </c>
      <c r="B463" s="3" t="s">
        <v>36</v>
      </c>
      <c r="C463" s="3" t="s">
        <v>37</v>
      </c>
      <c r="D463" s="3" t="s">
        <v>102</v>
      </c>
      <c r="E463" s="3">
        <v>6</v>
      </c>
      <c r="F463" s="3">
        <v>2023</v>
      </c>
      <c r="G463" s="9" t="s">
        <v>82</v>
      </c>
      <c r="H463" s="3">
        <v>1576</v>
      </c>
      <c r="I463" s="3">
        <v>1464</v>
      </c>
      <c r="J463" s="3">
        <v>112</v>
      </c>
      <c r="K463" s="3">
        <v>7.1</v>
      </c>
      <c r="L463" s="3" t="s">
        <v>78</v>
      </c>
      <c r="M463">
        <f t="shared" si="45"/>
        <v>1653.6666666666667</v>
      </c>
      <c r="N463">
        <f t="shared" si="44"/>
        <v>1688.3617404616034</v>
      </c>
      <c r="O463">
        <f t="shared" si="41"/>
        <v>112</v>
      </c>
      <c r="P463" s="6">
        <f t="shared" si="42"/>
        <v>7.1065989847715741E-2</v>
      </c>
      <c r="Q463" s="6">
        <f t="shared" si="43"/>
        <v>7.1295520597464093E-2</v>
      </c>
    </row>
    <row r="464" spans="1:17" x14ac:dyDescent="0.25">
      <c r="A464" s="2">
        <v>463</v>
      </c>
      <c r="B464" s="2" t="s">
        <v>36</v>
      </c>
      <c r="C464" s="2" t="s">
        <v>37</v>
      </c>
      <c r="D464" s="2" t="s">
        <v>102</v>
      </c>
      <c r="E464" s="2">
        <v>7</v>
      </c>
      <c r="F464" s="2">
        <v>2023</v>
      </c>
      <c r="G464" s="8" t="s">
        <v>84</v>
      </c>
      <c r="H464" s="2">
        <v>1522</v>
      </c>
      <c r="I464" s="2">
        <v>1416</v>
      </c>
      <c r="J464" s="2">
        <v>106</v>
      </c>
      <c r="K464" s="2">
        <v>7</v>
      </c>
      <c r="L464" s="2" t="s">
        <v>83</v>
      </c>
      <c r="M464">
        <f t="shared" si="45"/>
        <v>1679.3333333333333</v>
      </c>
      <c r="N464">
        <f t="shared" si="44"/>
        <v>1654.6532183231222</v>
      </c>
      <c r="O464">
        <f t="shared" si="41"/>
        <v>106</v>
      </c>
      <c r="P464" s="6">
        <f t="shared" si="42"/>
        <v>6.9645203679369244E-2</v>
      </c>
      <c r="Q464" s="6">
        <f t="shared" si="43"/>
        <v>8.7157173668280061E-2</v>
      </c>
    </row>
    <row r="465" spans="1:17" x14ac:dyDescent="0.25">
      <c r="A465" s="3">
        <v>464</v>
      </c>
      <c r="B465" s="3" t="s">
        <v>36</v>
      </c>
      <c r="C465" s="3" t="s">
        <v>37</v>
      </c>
      <c r="D465" s="3" t="s">
        <v>102</v>
      </c>
      <c r="E465" s="3">
        <v>8</v>
      </c>
      <c r="F465" s="3">
        <v>2023</v>
      </c>
      <c r="G465" s="9" t="s">
        <v>85</v>
      </c>
      <c r="H465" s="3">
        <v>1442</v>
      </c>
      <c r="I465" s="3">
        <v>1572</v>
      </c>
      <c r="J465" s="3">
        <v>-130</v>
      </c>
      <c r="K465" s="3">
        <v>9</v>
      </c>
      <c r="L465" s="3" t="s">
        <v>83</v>
      </c>
      <c r="M465">
        <f t="shared" si="45"/>
        <v>1627</v>
      </c>
      <c r="N465">
        <f t="shared" si="44"/>
        <v>1614.8572528261855</v>
      </c>
      <c r="O465">
        <f t="shared" si="41"/>
        <v>130</v>
      </c>
      <c r="P465" s="6">
        <f t="shared" si="42"/>
        <v>9.0152565880721222E-2</v>
      </c>
      <c r="Q465" s="6">
        <f t="shared" si="43"/>
        <v>0.11987326825671668</v>
      </c>
    </row>
    <row r="466" spans="1:17" x14ac:dyDescent="0.25">
      <c r="A466" s="2">
        <v>465</v>
      </c>
      <c r="B466" s="2" t="s">
        <v>36</v>
      </c>
      <c r="C466" s="2" t="s">
        <v>37</v>
      </c>
      <c r="D466" s="2" t="s">
        <v>102</v>
      </c>
      <c r="E466" s="2">
        <v>9</v>
      </c>
      <c r="F466" s="2">
        <v>2023</v>
      </c>
      <c r="G466" s="8" t="s">
        <v>86</v>
      </c>
      <c r="H466" s="2">
        <v>1527</v>
      </c>
      <c r="I466" s="2">
        <v>1604</v>
      </c>
      <c r="J466" s="2">
        <v>-77</v>
      </c>
      <c r="K466" s="2">
        <v>5</v>
      </c>
      <c r="L466" s="2" t="s">
        <v>83</v>
      </c>
      <c r="M466">
        <f t="shared" si="45"/>
        <v>1513.3333333333333</v>
      </c>
      <c r="N466">
        <f t="shared" si="44"/>
        <v>1563.0000769783296</v>
      </c>
      <c r="O466">
        <f t="shared" si="41"/>
        <v>77</v>
      </c>
      <c r="P466" s="6">
        <f t="shared" si="42"/>
        <v>5.04256712508186E-2</v>
      </c>
      <c r="Q466" s="6">
        <f t="shared" si="43"/>
        <v>2.3575688918356003E-2</v>
      </c>
    </row>
    <row r="467" spans="1:17" x14ac:dyDescent="0.25">
      <c r="A467" s="3">
        <v>466</v>
      </c>
      <c r="B467" s="3" t="s">
        <v>36</v>
      </c>
      <c r="C467" s="3" t="s">
        <v>37</v>
      </c>
      <c r="D467" s="3" t="s">
        <v>102</v>
      </c>
      <c r="E467" s="3">
        <v>10</v>
      </c>
      <c r="F467" s="3">
        <v>2023</v>
      </c>
      <c r="G467" s="9" t="s">
        <v>87</v>
      </c>
      <c r="H467" s="3">
        <v>1662</v>
      </c>
      <c r="I467" s="3">
        <v>1802</v>
      </c>
      <c r="J467" s="3">
        <v>-140</v>
      </c>
      <c r="K467" s="3">
        <v>8.4</v>
      </c>
      <c r="L467" s="3" t="s">
        <v>83</v>
      </c>
      <c r="M467">
        <f t="shared" si="45"/>
        <v>1497</v>
      </c>
      <c r="N467">
        <f t="shared" si="44"/>
        <v>1552.2000538848306</v>
      </c>
      <c r="O467">
        <f t="shared" si="41"/>
        <v>140</v>
      </c>
      <c r="P467" s="6">
        <f t="shared" si="42"/>
        <v>8.4235860409145602E-2</v>
      </c>
      <c r="Q467" s="6">
        <f t="shared" si="43"/>
        <v>6.6064949527779429E-2</v>
      </c>
    </row>
    <row r="468" spans="1:17" x14ac:dyDescent="0.25">
      <c r="A468" s="2">
        <v>467</v>
      </c>
      <c r="B468" s="2" t="s">
        <v>36</v>
      </c>
      <c r="C468" s="2" t="s">
        <v>37</v>
      </c>
      <c r="D468" s="2" t="s">
        <v>102</v>
      </c>
      <c r="E468" s="2">
        <v>11</v>
      </c>
      <c r="F468" s="2">
        <v>2023</v>
      </c>
      <c r="G468" s="8" t="s">
        <v>88</v>
      </c>
      <c r="H468" s="2">
        <v>1978</v>
      </c>
      <c r="I468" s="2">
        <v>2170</v>
      </c>
      <c r="J468" s="2">
        <v>-192</v>
      </c>
      <c r="K468" s="2">
        <v>9.6999999999999993</v>
      </c>
      <c r="L468" s="2" t="s">
        <v>76</v>
      </c>
      <c r="M468">
        <f t="shared" si="45"/>
        <v>1543.6666666666667</v>
      </c>
      <c r="N468">
        <f t="shared" si="44"/>
        <v>1585.1400377193813</v>
      </c>
      <c r="O468">
        <f t="shared" si="41"/>
        <v>192</v>
      </c>
      <c r="P468" s="6">
        <f t="shared" si="42"/>
        <v>9.7067745197168862E-2</v>
      </c>
      <c r="Q468" s="6">
        <f t="shared" si="43"/>
        <v>0.19861474331679407</v>
      </c>
    </row>
    <row r="469" spans="1:17" x14ac:dyDescent="0.25">
      <c r="A469" s="3">
        <v>468</v>
      </c>
      <c r="B469" s="3" t="s">
        <v>36</v>
      </c>
      <c r="C469" s="3" t="s">
        <v>37</v>
      </c>
      <c r="D469" s="3" t="s">
        <v>102</v>
      </c>
      <c r="E469" s="3">
        <v>12</v>
      </c>
      <c r="F469" s="3">
        <v>2023</v>
      </c>
      <c r="G469" s="9" t="s">
        <v>89</v>
      </c>
      <c r="H469" s="3">
        <v>2162</v>
      </c>
      <c r="I469" s="3">
        <v>2217</v>
      </c>
      <c r="J469" s="3">
        <v>-55</v>
      </c>
      <c r="K469" s="3">
        <v>2.5</v>
      </c>
      <c r="L469" s="3" t="s">
        <v>78</v>
      </c>
      <c r="M469">
        <f t="shared" si="45"/>
        <v>1722.3333333333333</v>
      </c>
      <c r="N469">
        <f t="shared" si="44"/>
        <v>1702.9980264035667</v>
      </c>
      <c r="O469">
        <f t="shared" si="41"/>
        <v>55</v>
      </c>
      <c r="P469" s="6">
        <f t="shared" si="42"/>
        <v>2.5439407955596668E-2</v>
      </c>
      <c r="Q469" s="6">
        <f t="shared" si="43"/>
        <v>0.21230433561352144</v>
      </c>
    </row>
    <row r="470" spans="1:17" x14ac:dyDescent="0.25">
      <c r="A470" s="2">
        <v>469</v>
      </c>
      <c r="B470" s="2" t="s">
        <v>36</v>
      </c>
      <c r="C470" s="2" t="s">
        <v>37</v>
      </c>
      <c r="D470" s="2" t="s">
        <v>102</v>
      </c>
      <c r="E470" s="2">
        <v>1</v>
      </c>
      <c r="F470" s="2">
        <v>2024</v>
      </c>
      <c r="G470" s="8" t="s">
        <v>90</v>
      </c>
      <c r="H470" s="2">
        <v>1281</v>
      </c>
      <c r="I470" s="2">
        <v>1273</v>
      </c>
      <c r="J470" s="2">
        <v>8</v>
      </c>
      <c r="K470" s="2">
        <v>0.6</v>
      </c>
      <c r="L470" s="2" t="s">
        <v>83</v>
      </c>
      <c r="M470">
        <f t="shared" si="45"/>
        <v>1934</v>
      </c>
      <c r="N470">
        <f t="shared" si="44"/>
        <v>1840.6986184824964</v>
      </c>
      <c r="O470">
        <f t="shared" si="41"/>
        <v>8</v>
      </c>
      <c r="P470" s="6">
        <f t="shared" si="42"/>
        <v>6.2451209992193599E-3</v>
      </c>
      <c r="Q470" s="6">
        <f t="shared" si="43"/>
        <v>0.43692319943988789</v>
      </c>
    </row>
    <row r="471" spans="1:17" x14ac:dyDescent="0.25">
      <c r="A471" s="3">
        <v>470</v>
      </c>
      <c r="B471" s="3" t="s">
        <v>36</v>
      </c>
      <c r="C471" s="3" t="s">
        <v>37</v>
      </c>
      <c r="D471" s="3" t="s">
        <v>102</v>
      </c>
      <c r="E471" s="3">
        <v>2</v>
      </c>
      <c r="F471" s="3">
        <v>2024</v>
      </c>
      <c r="G471" s="9" t="s">
        <v>91</v>
      </c>
      <c r="H471" s="3">
        <v>1195</v>
      </c>
      <c r="I471" s="3">
        <v>1141</v>
      </c>
      <c r="J471" s="3">
        <v>54</v>
      </c>
      <c r="K471" s="3">
        <v>4.5</v>
      </c>
      <c r="L471" s="3" t="s">
        <v>78</v>
      </c>
      <c r="M471">
        <f t="shared" si="45"/>
        <v>1807</v>
      </c>
      <c r="N471">
        <f t="shared" si="44"/>
        <v>1672.7890329377474</v>
      </c>
      <c r="O471">
        <f t="shared" si="41"/>
        <v>54</v>
      </c>
      <c r="P471" s="6">
        <f t="shared" si="42"/>
        <v>4.5188284518828455E-2</v>
      </c>
      <c r="Q471" s="6">
        <f t="shared" si="43"/>
        <v>0.39982345852531159</v>
      </c>
    </row>
    <row r="472" spans="1:17" x14ac:dyDescent="0.25">
      <c r="A472" s="2">
        <v>471</v>
      </c>
      <c r="B472" s="2" t="s">
        <v>36</v>
      </c>
      <c r="C472" s="2" t="s">
        <v>37</v>
      </c>
      <c r="D472" s="2" t="s">
        <v>102</v>
      </c>
      <c r="E472" s="2">
        <v>3</v>
      </c>
      <c r="F472" s="2">
        <v>2024</v>
      </c>
      <c r="G472" s="8" t="s">
        <v>92</v>
      </c>
      <c r="H472" s="2">
        <v>1401</v>
      </c>
      <c r="I472" s="2">
        <v>1281</v>
      </c>
      <c r="J472" s="2">
        <v>120</v>
      </c>
      <c r="K472" s="2">
        <v>8.6</v>
      </c>
      <c r="L472" s="2" t="s">
        <v>76</v>
      </c>
      <c r="M472">
        <f t="shared" si="45"/>
        <v>1546</v>
      </c>
      <c r="N472">
        <f t="shared" si="44"/>
        <v>1529.452323056423</v>
      </c>
      <c r="O472">
        <f t="shared" si="41"/>
        <v>120</v>
      </c>
      <c r="P472" s="6">
        <f t="shared" si="42"/>
        <v>8.5653104925053528E-2</v>
      </c>
      <c r="Q472" s="6">
        <f t="shared" si="43"/>
        <v>9.1686169205155585E-2</v>
      </c>
    </row>
    <row r="473" spans="1:17" x14ac:dyDescent="0.25">
      <c r="A473" s="3">
        <v>472</v>
      </c>
      <c r="B473" s="3" t="s">
        <v>36</v>
      </c>
      <c r="C473" s="3" t="s">
        <v>37</v>
      </c>
      <c r="D473" s="3" t="s">
        <v>102</v>
      </c>
      <c r="E473" s="3">
        <v>4</v>
      </c>
      <c r="F473" s="3">
        <v>2024</v>
      </c>
      <c r="G473" s="9" t="s">
        <v>93</v>
      </c>
      <c r="H473" s="3">
        <v>1512</v>
      </c>
      <c r="I473" s="3">
        <v>1378</v>
      </c>
      <c r="J473" s="3">
        <v>134</v>
      </c>
      <c r="K473" s="3">
        <v>8.9</v>
      </c>
      <c r="L473" s="3" t="s">
        <v>76</v>
      </c>
      <c r="M473">
        <f t="shared" si="45"/>
        <v>1292.3333333333333</v>
      </c>
      <c r="N473">
        <f t="shared" si="44"/>
        <v>1490.916626139496</v>
      </c>
      <c r="O473">
        <f t="shared" si="41"/>
        <v>134</v>
      </c>
      <c r="P473" s="6">
        <f t="shared" si="42"/>
        <v>8.8624338624338619E-2</v>
      </c>
      <c r="Q473" s="6">
        <f t="shared" si="43"/>
        <v>1.3944030331021181E-2</v>
      </c>
    </row>
    <row r="474" spans="1:17" x14ac:dyDescent="0.25">
      <c r="A474" s="2">
        <v>473</v>
      </c>
      <c r="B474" s="2" t="s">
        <v>36</v>
      </c>
      <c r="C474" s="2" t="s">
        <v>37</v>
      </c>
      <c r="D474" s="2" t="s">
        <v>102</v>
      </c>
      <c r="E474" s="2">
        <v>5</v>
      </c>
      <c r="F474" s="2">
        <v>2024</v>
      </c>
      <c r="G474" s="8" t="s">
        <v>94</v>
      </c>
      <c r="H474" s="2">
        <v>1443</v>
      </c>
      <c r="I474" s="2">
        <v>1548</v>
      </c>
      <c r="J474" s="2">
        <v>-105</v>
      </c>
      <c r="K474" s="2">
        <v>7.3</v>
      </c>
      <c r="L474" s="2" t="s">
        <v>78</v>
      </c>
      <c r="M474">
        <f t="shared" si="45"/>
        <v>1369.3333333333333</v>
      </c>
      <c r="N474">
        <f t="shared" si="44"/>
        <v>1497.2416382976471</v>
      </c>
      <c r="O474">
        <f t="shared" si="41"/>
        <v>105</v>
      </c>
      <c r="P474" s="6">
        <f t="shared" si="42"/>
        <v>7.2765072765072769E-2</v>
      </c>
      <c r="Q474" s="6">
        <f t="shared" si="43"/>
        <v>3.758949292976238E-2</v>
      </c>
    </row>
    <row r="475" spans="1:17" x14ac:dyDescent="0.25">
      <c r="A475" s="3">
        <v>474</v>
      </c>
      <c r="B475" s="3" t="s">
        <v>36</v>
      </c>
      <c r="C475" s="3" t="s">
        <v>37</v>
      </c>
      <c r="D475" s="3" t="s">
        <v>102</v>
      </c>
      <c r="E475" s="3">
        <v>6</v>
      </c>
      <c r="F475" s="3">
        <v>2024</v>
      </c>
      <c r="G475" s="9" t="s">
        <v>95</v>
      </c>
      <c r="H475" s="3">
        <v>1729</v>
      </c>
      <c r="I475" s="3">
        <v>1731</v>
      </c>
      <c r="J475" s="3">
        <v>-2</v>
      </c>
      <c r="K475" s="3">
        <v>0.1</v>
      </c>
      <c r="L475" s="3" t="s">
        <v>76</v>
      </c>
      <c r="M475">
        <f t="shared" si="45"/>
        <v>1452</v>
      </c>
      <c r="N475">
        <f t="shared" si="44"/>
        <v>1480.9691468083529</v>
      </c>
      <c r="O475">
        <f t="shared" si="41"/>
        <v>2</v>
      </c>
      <c r="P475" s="6">
        <f t="shared" si="42"/>
        <v>1.1567379988432619E-3</v>
      </c>
      <c r="Q475" s="6">
        <f t="shared" si="43"/>
        <v>0.1434533563861464</v>
      </c>
    </row>
    <row r="476" spans="1:17" x14ac:dyDescent="0.25">
      <c r="A476" s="2">
        <v>475</v>
      </c>
      <c r="B476" s="2" t="s">
        <v>36</v>
      </c>
      <c r="C476" s="2" t="s">
        <v>37</v>
      </c>
      <c r="D476" s="2" t="s">
        <v>102</v>
      </c>
      <c r="E476" s="2">
        <v>7</v>
      </c>
      <c r="F476" s="2">
        <v>2024</v>
      </c>
      <c r="G476" s="8" t="s">
        <v>96</v>
      </c>
      <c r="H476" s="2">
        <v>1684</v>
      </c>
      <c r="I476" s="2">
        <v>1836</v>
      </c>
      <c r="J476" s="2">
        <v>-152</v>
      </c>
      <c r="K476" s="2">
        <v>9</v>
      </c>
      <c r="L476" s="2" t="s">
        <v>83</v>
      </c>
      <c r="M476">
        <f t="shared" si="45"/>
        <v>1561.3333333333333</v>
      </c>
      <c r="N476">
        <f t="shared" si="44"/>
        <v>1555.3784027658471</v>
      </c>
      <c r="O476">
        <f t="shared" si="41"/>
        <v>152</v>
      </c>
      <c r="P476" s="6">
        <f t="shared" si="42"/>
        <v>9.0261282660332537E-2</v>
      </c>
      <c r="Q476" s="6">
        <f t="shared" si="43"/>
        <v>7.637862068536394E-2</v>
      </c>
    </row>
    <row r="477" spans="1:17" x14ac:dyDescent="0.25">
      <c r="A477" s="3">
        <v>476</v>
      </c>
      <c r="B477" s="3" t="s">
        <v>36</v>
      </c>
      <c r="C477" s="3" t="s">
        <v>37</v>
      </c>
      <c r="D477" s="3" t="s">
        <v>102</v>
      </c>
      <c r="E477" s="3">
        <v>8</v>
      </c>
      <c r="F477" s="3">
        <v>2024</v>
      </c>
      <c r="G477" s="9" t="s">
        <v>97</v>
      </c>
      <c r="H477" s="3">
        <v>1759</v>
      </c>
      <c r="I477" s="3">
        <v>1741</v>
      </c>
      <c r="J477" s="3">
        <v>18</v>
      </c>
      <c r="K477" s="3">
        <v>1</v>
      </c>
      <c r="L477" s="3" t="s">
        <v>83</v>
      </c>
      <c r="M477">
        <f t="shared" si="45"/>
        <v>1618.6666666666667</v>
      </c>
      <c r="N477">
        <f t="shared" si="44"/>
        <v>1593.964881936093</v>
      </c>
      <c r="O477">
        <f t="shared" si="41"/>
        <v>18</v>
      </c>
      <c r="P477" s="6">
        <f t="shared" si="42"/>
        <v>1.023308698123934E-2</v>
      </c>
      <c r="Q477" s="6">
        <f t="shared" si="43"/>
        <v>9.3823262117059131E-2</v>
      </c>
    </row>
    <row r="478" spans="1:17" x14ac:dyDescent="0.25">
      <c r="A478" s="2">
        <v>477</v>
      </c>
      <c r="B478" s="2" t="s">
        <v>36</v>
      </c>
      <c r="C478" s="2" t="s">
        <v>37</v>
      </c>
      <c r="D478" s="2" t="s">
        <v>102</v>
      </c>
      <c r="E478" s="2">
        <v>9</v>
      </c>
      <c r="F478" s="2">
        <v>2024</v>
      </c>
      <c r="G478" s="8" t="s">
        <v>98</v>
      </c>
      <c r="H478" s="2">
        <v>1585</v>
      </c>
      <c r="I478" s="2">
        <v>1528</v>
      </c>
      <c r="J478" s="2">
        <v>57</v>
      </c>
      <c r="K478" s="2">
        <v>3.6</v>
      </c>
      <c r="L478" s="2" t="s">
        <v>76</v>
      </c>
      <c r="M478">
        <f t="shared" si="45"/>
        <v>1724</v>
      </c>
      <c r="N478">
        <f t="shared" si="44"/>
        <v>1643.4754173552651</v>
      </c>
      <c r="O478">
        <f t="shared" si="41"/>
        <v>57</v>
      </c>
      <c r="P478" s="6">
        <f t="shared" si="42"/>
        <v>3.5962145110410092E-2</v>
      </c>
      <c r="Q478" s="6">
        <f t="shared" si="43"/>
        <v>3.6893007795119941E-2</v>
      </c>
    </row>
    <row r="479" spans="1:17" x14ac:dyDescent="0.25">
      <c r="A479" s="3">
        <v>478</v>
      </c>
      <c r="B479" s="3" t="s">
        <v>36</v>
      </c>
      <c r="C479" s="3" t="s">
        <v>37</v>
      </c>
      <c r="D479" s="3" t="s">
        <v>102</v>
      </c>
      <c r="E479" s="3">
        <v>10</v>
      </c>
      <c r="F479" s="3">
        <v>2024</v>
      </c>
      <c r="G479" s="9" t="s">
        <v>99</v>
      </c>
      <c r="H479" s="3">
        <v>1683</v>
      </c>
      <c r="I479" s="3">
        <v>1837</v>
      </c>
      <c r="J479" s="3">
        <v>-154</v>
      </c>
      <c r="K479" s="3">
        <v>9.1999999999999993</v>
      </c>
      <c r="L479" s="3" t="s">
        <v>76</v>
      </c>
      <c r="M479">
        <f t="shared" si="45"/>
        <v>1676</v>
      </c>
      <c r="N479">
        <f t="shared" si="44"/>
        <v>1625.9327921486854</v>
      </c>
      <c r="O479">
        <f t="shared" si="41"/>
        <v>154</v>
      </c>
      <c r="P479" s="6">
        <f t="shared" si="42"/>
        <v>9.1503267973856203E-2</v>
      </c>
      <c r="Q479" s="6">
        <f t="shared" si="43"/>
        <v>3.3908026055445399E-2</v>
      </c>
    </row>
    <row r="480" spans="1:17" x14ac:dyDescent="0.25">
      <c r="A480" s="2">
        <v>479</v>
      </c>
      <c r="B480" s="2" t="s">
        <v>36</v>
      </c>
      <c r="C480" s="2" t="s">
        <v>37</v>
      </c>
      <c r="D480" s="2" t="s">
        <v>102</v>
      </c>
      <c r="E480" s="2">
        <v>11</v>
      </c>
      <c r="F480" s="2">
        <v>2024</v>
      </c>
      <c r="G480" s="8" t="s">
        <v>100</v>
      </c>
      <c r="H480" s="2">
        <v>1730</v>
      </c>
      <c r="I480" s="2">
        <v>1868</v>
      </c>
      <c r="J480" s="2">
        <v>-138</v>
      </c>
      <c r="K480" s="2">
        <v>8</v>
      </c>
      <c r="L480" s="2" t="s">
        <v>76</v>
      </c>
      <c r="M480">
        <f t="shared" si="45"/>
        <v>1675.6666666666667</v>
      </c>
      <c r="N480">
        <f t="shared" si="44"/>
        <v>1643.0529545040795</v>
      </c>
      <c r="O480">
        <f t="shared" si="41"/>
        <v>138</v>
      </c>
      <c r="P480" s="6">
        <f t="shared" si="42"/>
        <v>7.9768786127167632E-2</v>
      </c>
      <c r="Q480" s="6">
        <f t="shared" si="43"/>
        <v>5.0258407801110128E-2</v>
      </c>
    </row>
    <row r="481" spans="1:17" x14ac:dyDescent="0.25">
      <c r="A481" s="3">
        <v>480</v>
      </c>
      <c r="B481" s="3" t="s">
        <v>36</v>
      </c>
      <c r="C481" s="3" t="s">
        <v>37</v>
      </c>
      <c r="D481" s="3" t="s">
        <v>102</v>
      </c>
      <c r="E481" s="3">
        <v>12</v>
      </c>
      <c r="F481" s="3">
        <v>2024</v>
      </c>
      <c r="G481" s="9" t="s">
        <v>101</v>
      </c>
      <c r="H481" s="3">
        <v>2219</v>
      </c>
      <c r="I481" s="3">
        <v>2034</v>
      </c>
      <c r="J481" s="3">
        <v>185</v>
      </c>
      <c r="K481" s="3">
        <v>8.3000000000000007</v>
      </c>
      <c r="L481" s="3" t="s">
        <v>83</v>
      </c>
      <c r="M481">
        <f t="shared" si="45"/>
        <v>1666</v>
      </c>
      <c r="N481">
        <f t="shared" si="44"/>
        <v>1669.1370681528556</v>
      </c>
      <c r="O481">
        <f t="shared" si="41"/>
        <v>185</v>
      </c>
      <c r="P481" s="6">
        <f t="shared" si="42"/>
        <v>8.337088778729157E-2</v>
      </c>
      <c r="Q481" s="6">
        <f t="shared" si="43"/>
        <v>0.24779762588875368</v>
      </c>
    </row>
    <row r="482" spans="1:17" x14ac:dyDescent="0.25">
      <c r="A482" s="2">
        <v>481</v>
      </c>
      <c r="B482" s="2" t="s">
        <v>36</v>
      </c>
      <c r="C482" s="2" t="s">
        <v>37</v>
      </c>
      <c r="D482" s="2" t="s">
        <v>103</v>
      </c>
      <c r="E482" s="2">
        <v>1</v>
      </c>
      <c r="F482" s="2">
        <v>2023</v>
      </c>
      <c r="G482" s="8" t="s">
        <v>75</v>
      </c>
      <c r="H482" s="2">
        <v>1339</v>
      </c>
      <c r="I482" s="2">
        <v>1271</v>
      </c>
      <c r="J482" s="2">
        <v>68</v>
      </c>
      <c r="K482" s="2">
        <v>5.0999999999999996</v>
      </c>
      <c r="L482" s="2" t="s">
        <v>76</v>
      </c>
      <c r="M482">
        <f t="shared" si="45"/>
        <v>1877.3333333333333</v>
      </c>
      <c r="N482">
        <f t="shared" si="44"/>
        <v>1834.0959477069987</v>
      </c>
      <c r="O482">
        <f t="shared" si="41"/>
        <v>68</v>
      </c>
      <c r="P482" s="6">
        <f t="shared" si="42"/>
        <v>5.0784167289021659E-2</v>
      </c>
      <c r="Q482" s="6">
        <f t="shared" si="43"/>
        <v>0.36975052106571971</v>
      </c>
    </row>
    <row r="483" spans="1:17" x14ac:dyDescent="0.25">
      <c r="A483" s="3">
        <v>482</v>
      </c>
      <c r="B483" s="3" t="s">
        <v>36</v>
      </c>
      <c r="C483" s="3" t="s">
        <v>37</v>
      </c>
      <c r="D483" s="3" t="s">
        <v>103</v>
      </c>
      <c r="E483" s="3">
        <v>2</v>
      </c>
      <c r="F483" s="3">
        <v>2023</v>
      </c>
      <c r="G483" s="9" t="s">
        <v>77</v>
      </c>
      <c r="H483" s="3">
        <v>1567</v>
      </c>
      <c r="I483" s="3">
        <v>1574</v>
      </c>
      <c r="J483" s="3">
        <v>-7</v>
      </c>
      <c r="K483" s="3">
        <v>0.4</v>
      </c>
      <c r="L483" s="3" t="s">
        <v>83</v>
      </c>
      <c r="M483">
        <f t="shared" si="45"/>
        <v>1762.6666666666667</v>
      </c>
      <c r="N483">
        <f t="shared" si="44"/>
        <v>1685.5671633948991</v>
      </c>
      <c r="O483">
        <f t="shared" si="41"/>
        <v>7</v>
      </c>
      <c r="P483" s="6">
        <f t="shared" si="42"/>
        <v>4.4671346522016592E-3</v>
      </c>
      <c r="Q483" s="6">
        <f t="shared" si="43"/>
        <v>7.5665069173515717E-2</v>
      </c>
    </row>
    <row r="484" spans="1:17" x14ac:dyDescent="0.25">
      <c r="A484" s="2">
        <v>483</v>
      </c>
      <c r="B484" s="2" t="s">
        <v>36</v>
      </c>
      <c r="C484" s="2" t="s">
        <v>37</v>
      </c>
      <c r="D484" s="2" t="s">
        <v>103</v>
      </c>
      <c r="E484" s="2">
        <v>3</v>
      </c>
      <c r="F484" s="2">
        <v>2023</v>
      </c>
      <c r="G484" s="8" t="s">
        <v>79</v>
      </c>
      <c r="H484" s="2">
        <v>1491</v>
      </c>
      <c r="I484" s="2">
        <v>1453</v>
      </c>
      <c r="J484" s="2">
        <v>38</v>
      </c>
      <c r="K484" s="2">
        <v>2.5</v>
      </c>
      <c r="L484" s="2" t="s">
        <v>76</v>
      </c>
      <c r="M484">
        <f t="shared" si="45"/>
        <v>1708.3333333333333</v>
      </c>
      <c r="N484">
        <f t="shared" si="44"/>
        <v>1649.9970143764292</v>
      </c>
      <c r="O484">
        <f t="shared" si="41"/>
        <v>38</v>
      </c>
      <c r="P484" s="6">
        <f t="shared" si="42"/>
        <v>2.5486250838363516E-2</v>
      </c>
      <c r="Q484" s="6">
        <f t="shared" si="43"/>
        <v>0.10663783660390959</v>
      </c>
    </row>
    <row r="485" spans="1:17" x14ac:dyDescent="0.25">
      <c r="A485" s="3">
        <v>484</v>
      </c>
      <c r="B485" s="3" t="s">
        <v>36</v>
      </c>
      <c r="C485" s="3" t="s">
        <v>37</v>
      </c>
      <c r="D485" s="3" t="s">
        <v>103</v>
      </c>
      <c r="E485" s="3">
        <v>4</v>
      </c>
      <c r="F485" s="3">
        <v>2023</v>
      </c>
      <c r="G485" s="9" t="s">
        <v>80</v>
      </c>
      <c r="H485" s="3">
        <v>1663</v>
      </c>
      <c r="I485" s="3">
        <v>1754</v>
      </c>
      <c r="J485" s="3">
        <v>-91</v>
      </c>
      <c r="K485" s="3">
        <v>5.5</v>
      </c>
      <c r="L485" s="3" t="s">
        <v>83</v>
      </c>
      <c r="M485">
        <f t="shared" si="45"/>
        <v>1465.6666666666667</v>
      </c>
      <c r="N485">
        <f t="shared" si="44"/>
        <v>1602.2979100635002</v>
      </c>
      <c r="O485">
        <f t="shared" si="41"/>
        <v>91</v>
      </c>
      <c r="P485" s="6">
        <f t="shared" si="42"/>
        <v>5.4720384846662661E-2</v>
      </c>
      <c r="Q485" s="6">
        <f t="shared" si="43"/>
        <v>3.6501557388153798E-2</v>
      </c>
    </row>
    <row r="486" spans="1:17" x14ac:dyDescent="0.25">
      <c r="A486" s="2">
        <v>485</v>
      </c>
      <c r="B486" s="2" t="s">
        <v>36</v>
      </c>
      <c r="C486" s="2" t="s">
        <v>37</v>
      </c>
      <c r="D486" s="2" t="s">
        <v>103</v>
      </c>
      <c r="E486" s="2">
        <v>5</v>
      </c>
      <c r="F486" s="2">
        <v>2023</v>
      </c>
      <c r="G486" s="8" t="s">
        <v>81</v>
      </c>
      <c r="H486" s="2">
        <v>1837</v>
      </c>
      <c r="I486" s="2">
        <v>1943</v>
      </c>
      <c r="J486" s="2">
        <v>-106</v>
      </c>
      <c r="K486" s="2">
        <v>5.8</v>
      </c>
      <c r="L486" s="2" t="s">
        <v>83</v>
      </c>
      <c r="M486">
        <f t="shared" si="45"/>
        <v>1573.6666666666667</v>
      </c>
      <c r="N486">
        <f t="shared" si="44"/>
        <v>1620.5085370444499</v>
      </c>
      <c r="O486">
        <f t="shared" si="41"/>
        <v>106</v>
      </c>
      <c r="P486" s="6">
        <f t="shared" si="42"/>
        <v>5.770277626565052E-2</v>
      </c>
      <c r="Q486" s="6">
        <f t="shared" si="43"/>
        <v>0.1178505514183724</v>
      </c>
    </row>
    <row r="487" spans="1:17" x14ac:dyDescent="0.25">
      <c r="A487" s="3">
        <v>486</v>
      </c>
      <c r="B487" s="3" t="s">
        <v>36</v>
      </c>
      <c r="C487" s="3" t="s">
        <v>37</v>
      </c>
      <c r="D487" s="3" t="s">
        <v>103</v>
      </c>
      <c r="E487" s="3">
        <v>6</v>
      </c>
      <c r="F487" s="3">
        <v>2023</v>
      </c>
      <c r="G487" s="9" t="s">
        <v>82</v>
      </c>
      <c r="H487" s="3">
        <v>1806</v>
      </c>
      <c r="I487" s="3">
        <v>1744</v>
      </c>
      <c r="J487" s="3">
        <v>62</v>
      </c>
      <c r="K487" s="3">
        <v>3.4</v>
      </c>
      <c r="L487" s="3" t="s">
        <v>83</v>
      </c>
      <c r="M487">
        <f t="shared" si="45"/>
        <v>1663.6666666666667</v>
      </c>
      <c r="N487">
        <f t="shared" si="44"/>
        <v>1685.4559759311151</v>
      </c>
      <c r="O487">
        <f t="shared" si="41"/>
        <v>62</v>
      </c>
      <c r="P487" s="6">
        <f t="shared" si="42"/>
        <v>3.4330011074197121E-2</v>
      </c>
      <c r="Q487" s="6">
        <f t="shared" si="43"/>
        <v>6.6746414213114585E-2</v>
      </c>
    </row>
    <row r="488" spans="1:17" x14ac:dyDescent="0.25">
      <c r="A488" s="2">
        <v>487</v>
      </c>
      <c r="B488" s="2" t="s">
        <v>36</v>
      </c>
      <c r="C488" s="2" t="s">
        <v>37</v>
      </c>
      <c r="D488" s="2" t="s">
        <v>103</v>
      </c>
      <c r="E488" s="2">
        <v>7</v>
      </c>
      <c r="F488" s="2">
        <v>2023</v>
      </c>
      <c r="G488" s="8" t="s">
        <v>84</v>
      </c>
      <c r="H488" s="2">
        <v>1925</v>
      </c>
      <c r="I488" s="2">
        <v>1841</v>
      </c>
      <c r="J488" s="2">
        <v>84</v>
      </c>
      <c r="K488" s="2">
        <v>4.4000000000000004</v>
      </c>
      <c r="L488" s="2" t="s">
        <v>83</v>
      </c>
      <c r="M488">
        <f t="shared" si="45"/>
        <v>1768.6666666666667</v>
      </c>
      <c r="N488">
        <f t="shared" si="44"/>
        <v>1721.6191831517804</v>
      </c>
      <c r="O488">
        <f t="shared" si="41"/>
        <v>84</v>
      </c>
      <c r="P488" s="6">
        <f t="shared" si="42"/>
        <v>4.363636363636364E-2</v>
      </c>
      <c r="Q488" s="6">
        <f t="shared" si="43"/>
        <v>0.10565237238868552</v>
      </c>
    </row>
    <row r="489" spans="1:17" x14ac:dyDescent="0.25">
      <c r="A489" s="3">
        <v>488</v>
      </c>
      <c r="B489" s="3" t="s">
        <v>36</v>
      </c>
      <c r="C489" s="3" t="s">
        <v>37</v>
      </c>
      <c r="D489" s="3" t="s">
        <v>103</v>
      </c>
      <c r="E489" s="3">
        <v>8</v>
      </c>
      <c r="F489" s="3">
        <v>2023</v>
      </c>
      <c r="G489" s="9" t="s">
        <v>85</v>
      </c>
      <c r="H489" s="3">
        <v>1946</v>
      </c>
      <c r="I489" s="3">
        <v>2126</v>
      </c>
      <c r="J489" s="3">
        <v>-180</v>
      </c>
      <c r="K489" s="3">
        <v>9.1999999999999993</v>
      </c>
      <c r="L489" s="3" t="s">
        <v>83</v>
      </c>
      <c r="M489">
        <f t="shared" si="45"/>
        <v>1856</v>
      </c>
      <c r="N489">
        <f t="shared" si="44"/>
        <v>1782.6334282062462</v>
      </c>
      <c r="O489">
        <f t="shared" si="41"/>
        <v>180</v>
      </c>
      <c r="P489" s="6">
        <f t="shared" si="42"/>
        <v>9.249743062692703E-2</v>
      </c>
      <c r="Q489" s="6">
        <f t="shared" si="43"/>
        <v>8.3949934118064645E-2</v>
      </c>
    </row>
    <row r="490" spans="1:17" x14ac:dyDescent="0.25">
      <c r="A490" s="2">
        <v>489</v>
      </c>
      <c r="B490" s="2" t="s">
        <v>36</v>
      </c>
      <c r="C490" s="2" t="s">
        <v>37</v>
      </c>
      <c r="D490" s="2" t="s">
        <v>103</v>
      </c>
      <c r="E490" s="2">
        <v>9</v>
      </c>
      <c r="F490" s="2">
        <v>2023</v>
      </c>
      <c r="G490" s="8" t="s">
        <v>86</v>
      </c>
      <c r="H490" s="2">
        <v>1863</v>
      </c>
      <c r="I490" s="2">
        <v>1800</v>
      </c>
      <c r="J490" s="2">
        <v>63</v>
      </c>
      <c r="K490" s="2">
        <v>3.4</v>
      </c>
      <c r="L490" s="2" t="s">
        <v>83</v>
      </c>
      <c r="M490">
        <f t="shared" si="45"/>
        <v>1892.3333333333333</v>
      </c>
      <c r="N490">
        <f t="shared" si="44"/>
        <v>1831.6433997443721</v>
      </c>
      <c r="O490">
        <f t="shared" si="41"/>
        <v>63</v>
      </c>
      <c r="P490" s="6">
        <f t="shared" si="42"/>
        <v>3.3816425120772944E-2</v>
      </c>
      <c r="Q490" s="6">
        <f t="shared" si="43"/>
        <v>1.6831240072800794E-2</v>
      </c>
    </row>
    <row r="491" spans="1:17" x14ac:dyDescent="0.25">
      <c r="A491" s="3">
        <v>490</v>
      </c>
      <c r="B491" s="3" t="s">
        <v>36</v>
      </c>
      <c r="C491" s="3" t="s">
        <v>37</v>
      </c>
      <c r="D491" s="3" t="s">
        <v>103</v>
      </c>
      <c r="E491" s="3">
        <v>10</v>
      </c>
      <c r="F491" s="3">
        <v>2023</v>
      </c>
      <c r="G491" s="9" t="s">
        <v>87</v>
      </c>
      <c r="H491" s="3">
        <v>1954</v>
      </c>
      <c r="I491" s="3">
        <v>2116</v>
      </c>
      <c r="J491" s="3">
        <v>-162</v>
      </c>
      <c r="K491" s="3">
        <v>8.3000000000000007</v>
      </c>
      <c r="L491" s="3" t="s">
        <v>76</v>
      </c>
      <c r="M491">
        <f t="shared" si="45"/>
        <v>1911.3333333333333</v>
      </c>
      <c r="N491">
        <f t="shared" si="44"/>
        <v>1841.0503798210602</v>
      </c>
      <c r="O491">
        <f t="shared" si="41"/>
        <v>162</v>
      </c>
      <c r="P491" s="6">
        <f t="shared" si="42"/>
        <v>8.2906857727737968E-2</v>
      </c>
      <c r="Q491" s="6">
        <f t="shared" si="43"/>
        <v>5.7804309201095069E-2</v>
      </c>
    </row>
    <row r="492" spans="1:17" x14ac:dyDescent="0.25">
      <c r="A492" s="2">
        <v>491</v>
      </c>
      <c r="B492" s="2" t="s">
        <v>36</v>
      </c>
      <c r="C492" s="2" t="s">
        <v>37</v>
      </c>
      <c r="D492" s="2" t="s">
        <v>103</v>
      </c>
      <c r="E492" s="2">
        <v>11</v>
      </c>
      <c r="F492" s="2">
        <v>2023</v>
      </c>
      <c r="G492" s="8" t="s">
        <v>88</v>
      </c>
      <c r="H492" s="2">
        <v>2377</v>
      </c>
      <c r="I492" s="2">
        <v>2471</v>
      </c>
      <c r="J492" s="2">
        <v>-94</v>
      </c>
      <c r="K492" s="2">
        <v>4</v>
      </c>
      <c r="L492" s="2" t="s">
        <v>76</v>
      </c>
      <c r="M492">
        <f t="shared" si="45"/>
        <v>1921</v>
      </c>
      <c r="N492">
        <f t="shared" si="44"/>
        <v>1874.9352658747421</v>
      </c>
      <c r="O492">
        <f t="shared" si="41"/>
        <v>94</v>
      </c>
      <c r="P492" s="6">
        <f t="shared" si="42"/>
        <v>3.954564577198149E-2</v>
      </c>
      <c r="Q492" s="6">
        <f t="shared" si="43"/>
        <v>0.21121780989703742</v>
      </c>
    </row>
    <row r="493" spans="1:17" x14ac:dyDescent="0.25">
      <c r="A493" s="3">
        <v>492</v>
      </c>
      <c r="B493" s="3" t="s">
        <v>36</v>
      </c>
      <c r="C493" s="3" t="s">
        <v>37</v>
      </c>
      <c r="D493" s="3" t="s">
        <v>103</v>
      </c>
      <c r="E493" s="3">
        <v>12</v>
      </c>
      <c r="F493" s="3">
        <v>2023</v>
      </c>
      <c r="G493" s="9" t="s">
        <v>89</v>
      </c>
      <c r="H493" s="3">
        <v>2025</v>
      </c>
      <c r="I493" s="3">
        <v>2109</v>
      </c>
      <c r="J493" s="3">
        <v>-84</v>
      </c>
      <c r="K493" s="3">
        <v>4.0999999999999996</v>
      </c>
      <c r="L493" s="3" t="s">
        <v>78</v>
      </c>
      <c r="M493">
        <f t="shared" si="45"/>
        <v>2064.6666666666665</v>
      </c>
      <c r="N493">
        <f t="shared" si="44"/>
        <v>2025.5546861123194</v>
      </c>
      <c r="O493">
        <f t="shared" si="41"/>
        <v>84</v>
      </c>
      <c r="P493" s="6">
        <f t="shared" si="42"/>
        <v>4.148148148148148E-2</v>
      </c>
      <c r="Q493" s="6">
        <f t="shared" si="43"/>
        <v>2.7391906781202934E-4</v>
      </c>
    </row>
    <row r="494" spans="1:17" x14ac:dyDescent="0.25">
      <c r="A494" s="2">
        <v>493</v>
      </c>
      <c r="B494" s="2" t="s">
        <v>36</v>
      </c>
      <c r="C494" s="2" t="s">
        <v>37</v>
      </c>
      <c r="D494" s="2" t="s">
        <v>103</v>
      </c>
      <c r="E494" s="2">
        <v>1</v>
      </c>
      <c r="F494" s="2">
        <v>2024</v>
      </c>
      <c r="G494" s="8" t="s">
        <v>90</v>
      </c>
      <c r="H494" s="2">
        <v>1387</v>
      </c>
      <c r="I494" s="2">
        <v>1352</v>
      </c>
      <c r="J494" s="2">
        <v>35</v>
      </c>
      <c r="K494" s="2">
        <v>2.5</v>
      </c>
      <c r="L494" s="2" t="s">
        <v>76</v>
      </c>
      <c r="M494">
        <f t="shared" si="45"/>
        <v>2118.6666666666665</v>
      </c>
      <c r="N494">
        <f t="shared" si="44"/>
        <v>2025.3882802786234</v>
      </c>
      <c r="O494">
        <f t="shared" si="41"/>
        <v>35</v>
      </c>
      <c r="P494" s="6">
        <f t="shared" si="42"/>
        <v>2.5234318673395817E-2</v>
      </c>
      <c r="Q494" s="6">
        <f t="shared" si="43"/>
        <v>0.46026552291176881</v>
      </c>
    </row>
    <row r="495" spans="1:17" x14ac:dyDescent="0.25">
      <c r="A495" s="3">
        <v>494</v>
      </c>
      <c r="B495" s="3" t="s">
        <v>36</v>
      </c>
      <c r="C495" s="3" t="s">
        <v>37</v>
      </c>
      <c r="D495" s="3" t="s">
        <v>103</v>
      </c>
      <c r="E495" s="3">
        <v>2</v>
      </c>
      <c r="F495" s="3">
        <v>2024</v>
      </c>
      <c r="G495" s="9" t="s">
        <v>91</v>
      </c>
      <c r="H495" s="3">
        <v>1507</v>
      </c>
      <c r="I495" s="3">
        <v>1558</v>
      </c>
      <c r="J495" s="3">
        <v>-51</v>
      </c>
      <c r="K495" s="3">
        <v>3.4</v>
      </c>
      <c r="L495" s="3" t="s">
        <v>83</v>
      </c>
      <c r="M495">
        <f t="shared" si="45"/>
        <v>1929.6666666666667</v>
      </c>
      <c r="N495">
        <f t="shared" si="44"/>
        <v>1833.8717961950363</v>
      </c>
      <c r="O495">
        <f t="shared" si="41"/>
        <v>51</v>
      </c>
      <c r="P495" s="6">
        <f t="shared" si="42"/>
        <v>3.3842070338420703E-2</v>
      </c>
      <c r="Q495" s="6">
        <f t="shared" si="43"/>
        <v>0.2169023199701634</v>
      </c>
    </row>
    <row r="496" spans="1:17" x14ac:dyDescent="0.25">
      <c r="A496" s="2">
        <v>495</v>
      </c>
      <c r="B496" s="2" t="s">
        <v>36</v>
      </c>
      <c r="C496" s="2" t="s">
        <v>37</v>
      </c>
      <c r="D496" s="2" t="s">
        <v>103</v>
      </c>
      <c r="E496" s="2">
        <v>3</v>
      </c>
      <c r="F496" s="2">
        <v>2024</v>
      </c>
      <c r="G496" s="8" t="s">
        <v>92</v>
      </c>
      <c r="H496" s="2">
        <v>1818</v>
      </c>
      <c r="I496" s="2">
        <v>1967</v>
      </c>
      <c r="J496" s="2">
        <v>-149</v>
      </c>
      <c r="K496" s="2">
        <v>8.1999999999999993</v>
      </c>
      <c r="L496" s="2" t="s">
        <v>78</v>
      </c>
      <c r="M496">
        <f t="shared" si="45"/>
        <v>1639.6666666666667</v>
      </c>
      <c r="N496">
        <f t="shared" si="44"/>
        <v>1735.8102573365252</v>
      </c>
      <c r="O496">
        <f t="shared" si="41"/>
        <v>149</v>
      </c>
      <c r="P496" s="6">
        <f t="shared" si="42"/>
        <v>8.1958195819581955E-2</v>
      </c>
      <c r="Q496" s="6">
        <f t="shared" si="43"/>
        <v>4.5208879352846433E-2</v>
      </c>
    </row>
    <row r="497" spans="1:17" x14ac:dyDescent="0.25">
      <c r="A497" s="3">
        <v>496</v>
      </c>
      <c r="B497" s="3" t="s">
        <v>36</v>
      </c>
      <c r="C497" s="3" t="s">
        <v>37</v>
      </c>
      <c r="D497" s="3" t="s">
        <v>103</v>
      </c>
      <c r="E497" s="3">
        <v>4</v>
      </c>
      <c r="F497" s="3">
        <v>2024</v>
      </c>
      <c r="G497" s="9" t="s">
        <v>93</v>
      </c>
      <c r="H497" s="3">
        <v>1769</v>
      </c>
      <c r="I497" s="3">
        <v>1741</v>
      </c>
      <c r="J497" s="3">
        <v>28</v>
      </c>
      <c r="K497" s="3">
        <v>1.6</v>
      </c>
      <c r="L497" s="3" t="s">
        <v>76</v>
      </c>
      <c r="M497">
        <f t="shared" si="45"/>
        <v>1570.6666666666667</v>
      </c>
      <c r="N497">
        <f t="shared" si="44"/>
        <v>1760.4671801355676</v>
      </c>
      <c r="O497">
        <f t="shared" si="41"/>
        <v>28</v>
      </c>
      <c r="P497" s="6">
        <f t="shared" si="42"/>
        <v>1.582815149802148E-2</v>
      </c>
      <c r="Q497" s="6">
        <f t="shared" si="43"/>
        <v>4.823527339984421E-3</v>
      </c>
    </row>
    <row r="498" spans="1:17" x14ac:dyDescent="0.25">
      <c r="A498" s="2">
        <v>497</v>
      </c>
      <c r="B498" s="2" t="s">
        <v>36</v>
      </c>
      <c r="C498" s="2" t="s">
        <v>37</v>
      </c>
      <c r="D498" s="2" t="s">
        <v>103</v>
      </c>
      <c r="E498" s="2">
        <v>5</v>
      </c>
      <c r="F498" s="2">
        <v>2024</v>
      </c>
      <c r="G498" s="8" t="s">
        <v>94</v>
      </c>
      <c r="H498" s="2">
        <v>1587</v>
      </c>
      <c r="I498" s="2">
        <v>1526</v>
      </c>
      <c r="J498" s="2">
        <v>61</v>
      </c>
      <c r="K498" s="2">
        <v>3.8</v>
      </c>
      <c r="L498" s="2" t="s">
        <v>78</v>
      </c>
      <c r="M498">
        <f t="shared" si="45"/>
        <v>1698</v>
      </c>
      <c r="N498">
        <f t="shared" si="44"/>
        <v>1763.0270260948973</v>
      </c>
      <c r="O498">
        <f t="shared" si="41"/>
        <v>61</v>
      </c>
      <c r="P498" s="6">
        <f t="shared" si="42"/>
        <v>3.8437303087586638E-2</v>
      </c>
      <c r="Q498" s="6">
        <f t="shared" si="43"/>
        <v>0.11091810087895232</v>
      </c>
    </row>
    <row r="499" spans="1:17" x14ac:dyDescent="0.25">
      <c r="A499" s="3">
        <v>498</v>
      </c>
      <c r="B499" s="3" t="s">
        <v>36</v>
      </c>
      <c r="C499" s="3" t="s">
        <v>37</v>
      </c>
      <c r="D499" s="3" t="s">
        <v>103</v>
      </c>
      <c r="E499" s="3">
        <v>6</v>
      </c>
      <c r="F499" s="3">
        <v>2024</v>
      </c>
      <c r="G499" s="9" t="s">
        <v>95</v>
      </c>
      <c r="H499" s="3">
        <v>1809</v>
      </c>
      <c r="I499" s="3">
        <v>1905</v>
      </c>
      <c r="J499" s="3">
        <v>-96</v>
      </c>
      <c r="K499" s="3">
        <v>5.3</v>
      </c>
      <c r="L499" s="3" t="s">
        <v>78</v>
      </c>
      <c r="M499">
        <f t="shared" si="45"/>
        <v>1724.6666666666667</v>
      </c>
      <c r="N499">
        <f t="shared" si="44"/>
        <v>1710.2189182664279</v>
      </c>
      <c r="O499">
        <f t="shared" si="41"/>
        <v>96</v>
      </c>
      <c r="P499" s="6">
        <f t="shared" si="42"/>
        <v>5.306799336650083E-2</v>
      </c>
      <c r="Q499" s="6">
        <f t="shared" si="43"/>
        <v>5.4605351980968567E-2</v>
      </c>
    </row>
    <row r="500" spans="1:17" x14ac:dyDescent="0.25">
      <c r="A500" s="2">
        <v>499</v>
      </c>
      <c r="B500" s="2" t="s">
        <v>36</v>
      </c>
      <c r="C500" s="2" t="s">
        <v>37</v>
      </c>
      <c r="D500" s="2" t="s">
        <v>103</v>
      </c>
      <c r="E500" s="2">
        <v>7</v>
      </c>
      <c r="F500" s="2">
        <v>2024</v>
      </c>
      <c r="G500" s="8" t="s">
        <v>96</v>
      </c>
      <c r="H500" s="2">
        <v>1725</v>
      </c>
      <c r="I500" s="2">
        <v>1599</v>
      </c>
      <c r="J500" s="2">
        <v>126</v>
      </c>
      <c r="K500" s="2">
        <v>7.3</v>
      </c>
      <c r="L500" s="2" t="s">
        <v>78</v>
      </c>
      <c r="M500">
        <f t="shared" si="45"/>
        <v>1721.6666666666667</v>
      </c>
      <c r="N500">
        <f t="shared" si="44"/>
        <v>1739.8532427864993</v>
      </c>
      <c r="O500">
        <f t="shared" si="41"/>
        <v>126</v>
      </c>
      <c r="P500" s="6">
        <f t="shared" si="42"/>
        <v>7.3043478260869571E-2</v>
      </c>
      <c r="Q500" s="6">
        <f t="shared" si="43"/>
        <v>8.610575528405405E-3</v>
      </c>
    </row>
    <row r="501" spans="1:17" x14ac:dyDescent="0.25">
      <c r="A501" s="3">
        <v>500</v>
      </c>
      <c r="B501" s="3" t="s">
        <v>36</v>
      </c>
      <c r="C501" s="3" t="s">
        <v>37</v>
      </c>
      <c r="D501" s="3" t="s">
        <v>103</v>
      </c>
      <c r="E501" s="3">
        <v>8</v>
      </c>
      <c r="F501" s="3">
        <v>2024</v>
      </c>
      <c r="G501" s="9" t="s">
        <v>97</v>
      </c>
      <c r="H501" s="3">
        <v>1707</v>
      </c>
      <c r="I501" s="3">
        <v>1805</v>
      </c>
      <c r="J501" s="3">
        <v>-98</v>
      </c>
      <c r="K501" s="3">
        <v>5.7</v>
      </c>
      <c r="L501" s="3" t="s">
        <v>83</v>
      </c>
      <c r="M501">
        <f t="shared" si="45"/>
        <v>1707</v>
      </c>
      <c r="N501">
        <f t="shared" si="44"/>
        <v>1735.3972699505493</v>
      </c>
      <c r="O501">
        <f t="shared" si="41"/>
        <v>98</v>
      </c>
      <c r="P501" s="6">
        <f t="shared" si="42"/>
        <v>5.7410661980082017E-2</v>
      </c>
      <c r="Q501" s="6">
        <f t="shared" si="43"/>
        <v>1.6635776186613559E-2</v>
      </c>
    </row>
    <row r="502" spans="1:17" x14ac:dyDescent="0.25">
      <c r="A502" s="2">
        <v>501</v>
      </c>
      <c r="B502" s="2" t="s">
        <v>36</v>
      </c>
      <c r="C502" s="2" t="s">
        <v>37</v>
      </c>
      <c r="D502" s="2" t="s">
        <v>103</v>
      </c>
      <c r="E502" s="2">
        <v>9</v>
      </c>
      <c r="F502" s="2">
        <v>2024</v>
      </c>
      <c r="G502" s="8" t="s">
        <v>98</v>
      </c>
      <c r="H502" s="2">
        <v>1821</v>
      </c>
      <c r="I502" s="2">
        <v>1943</v>
      </c>
      <c r="J502" s="2">
        <v>-122</v>
      </c>
      <c r="K502" s="2">
        <v>6.7</v>
      </c>
      <c r="L502" s="2" t="s">
        <v>83</v>
      </c>
      <c r="M502">
        <f t="shared" si="45"/>
        <v>1747</v>
      </c>
      <c r="N502">
        <f t="shared" si="44"/>
        <v>1726.8780889653844</v>
      </c>
      <c r="O502">
        <f t="shared" si="41"/>
        <v>122</v>
      </c>
      <c r="P502" s="6">
        <f t="shared" si="42"/>
        <v>6.6996155958264691E-2</v>
      </c>
      <c r="Q502" s="6">
        <f t="shared" si="43"/>
        <v>5.1686936317746048E-2</v>
      </c>
    </row>
    <row r="503" spans="1:17" x14ac:dyDescent="0.25">
      <c r="A503" s="3">
        <v>502</v>
      </c>
      <c r="B503" s="3" t="s">
        <v>36</v>
      </c>
      <c r="C503" s="3" t="s">
        <v>37</v>
      </c>
      <c r="D503" s="3" t="s">
        <v>103</v>
      </c>
      <c r="E503" s="3">
        <v>10</v>
      </c>
      <c r="F503" s="3">
        <v>2024</v>
      </c>
      <c r="G503" s="9" t="s">
        <v>99</v>
      </c>
      <c r="H503" s="3">
        <v>1672</v>
      </c>
      <c r="I503" s="3">
        <v>1617</v>
      </c>
      <c r="J503" s="3">
        <v>55</v>
      </c>
      <c r="K503" s="3">
        <v>3.3</v>
      </c>
      <c r="L503" s="3" t="s">
        <v>83</v>
      </c>
      <c r="M503">
        <f t="shared" si="45"/>
        <v>1751</v>
      </c>
      <c r="N503">
        <f t="shared" si="44"/>
        <v>1755.114662275769</v>
      </c>
      <c r="O503">
        <f t="shared" si="41"/>
        <v>55</v>
      </c>
      <c r="P503" s="6">
        <f t="shared" si="42"/>
        <v>3.2894736842105261E-2</v>
      </c>
      <c r="Q503" s="6">
        <f t="shared" si="43"/>
        <v>4.9709726241488623E-2</v>
      </c>
    </row>
    <row r="504" spans="1:17" x14ac:dyDescent="0.25">
      <c r="A504" s="2">
        <v>503</v>
      </c>
      <c r="B504" s="2" t="s">
        <v>36</v>
      </c>
      <c r="C504" s="2" t="s">
        <v>37</v>
      </c>
      <c r="D504" s="2" t="s">
        <v>103</v>
      </c>
      <c r="E504" s="2">
        <v>11</v>
      </c>
      <c r="F504" s="2">
        <v>2024</v>
      </c>
      <c r="G504" s="8" t="s">
        <v>100</v>
      </c>
      <c r="H504" s="2">
        <v>1948</v>
      </c>
      <c r="I504" s="2">
        <v>1899</v>
      </c>
      <c r="J504" s="2">
        <v>49</v>
      </c>
      <c r="K504" s="2">
        <v>2.5</v>
      </c>
      <c r="L504" s="2" t="s">
        <v>78</v>
      </c>
      <c r="M504">
        <f t="shared" si="45"/>
        <v>1733.3333333333333</v>
      </c>
      <c r="N504">
        <f t="shared" si="44"/>
        <v>1730.180263593038</v>
      </c>
      <c r="O504">
        <f t="shared" si="41"/>
        <v>49</v>
      </c>
      <c r="P504" s="6">
        <f t="shared" si="42"/>
        <v>2.5154004106776182E-2</v>
      </c>
      <c r="Q504" s="6">
        <f t="shared" si="43"/>
        <v>0.11181711314525768</v>
      </c>
    </row>
    <row r="505" spans="1:17" x14ac:dyDescent="0.25">
      <c r="A505" s="3">
        <v>504</v>
      </c>
      <c r="B505" s="3" t="s">
        <v>36</v>
      </c>
      <c r="C505" s="3" t="s">
        <v>37</v>
      </c>
      <c r="D505" s="3" t="s">
        <v>103</v>
      </c>
      <c r="E505" s="3">
        <v>12</v>
      </c>
      <c r="F505" s="3">
        <v>2024</v>
      </c>
      <c r="G505" s="9" t="s">
        <v>101</v>
      </c>
      <c r="H505" s="3">
        <v>2052</v>
      </c>
      <c r="I505" s="3">
        <v>2131</v>
      </c>
      <c r="J505" s="3">
        <v>-79</v>
      </c>
      <c r="K505" s="3">
        <v>3.8</v>
      </c>
      <c r="L505" s="3" t="s">
        <v>83</v>
      </c>
      <c r="M505">
        <f t="shared" si="45"/>
        <v>1813.6666666666667</v>
      </c>
      <c r="N505">
        <f t="shared" si="44"/>
        <v>1795.5261845151267</v>
      </c>
      <c r="O505">
        <f t="shared" si="41"/>
        <v>79</v>
      </c>
      <c r="P505" s="6">
        <f t="shared" si="42"/>
        <v>3.8499025341130602E-2</v>
      </c>
      <c r="Q505" s="6">
        <f t="shared" si="43"/>
        <v>0.12498723951504546</v>
      </c>
    </row>
    <row r="506" spans="1:17" x14ac:dyDescent="0.25">
      <c r="A506" s="2">
        <v>505</v>
      </c>
      <c r="B506" s="2" t="s">
        <v>39</v>
      </c>
      <c r="C506" s="2" t="s">
        <v>40</v>
      </c>
      <c r="D506" s="2" t="s">
        <v>74</v>
      </c>
      <c r="E506" s="2">
        <v>1</v>
      </c>
      <c r="F506" s="2">
        <v>2023</v>
      </c>
      <c r="G506" s="8" t="s">
        <v>75</v>
      </c>
      <c r="H506" s="2">
        <v>2008</v>
      </c>
      <c r="I506" s="2">
        <v>1873</v>
      </c>
      <c r="J506" s="2">
        <v>135</v>
      </c>
      <c r="K506" s="2">
        <v>6.7</v>
      </c>
      <c r="L506" s="2" t="s">
        <v>76</v>
      </c>
      <c r="M506">
        <f t="shared" si="45"/>
        <v>1890.6666666666667</v>
      </c>
      <c r="N506">
        <f t="shared" si="44"/>
        <v>1872.4683291605888</v>
      </c>
      <c r="O506">
        <f t="shared" si="41"/>
        <v>135</v>
      </c>
      <c r="P506" s="6">
        <f t="shared" si="42"/>
        <v>6.7231075697211151E-2</v>
      </c>
      <c r="Q506" s="6">
        <f t="shared" si="43"/>
        <v>6.7495852011658947E-2</v>
      </c>
    </row>
    <row r="507" spans="1:17" x14ac:dyDescent="0.25">
      <c r="A507" s="3">
        <v>506</v>
      </c>
      <c r="B507" s="3" t="s">
        <v>39</v>
      </c>
      <c r="C507" s="3" t="s">
        <v>40</v>
      </c>
      <c r="D507" s="3" t="s">
        <v>74</v>
      </c>
      <c r="E507" s="3">
        <v>2</v>
      </c>
      <c r="F507" s="3">
        <v>2023</v>
      </c>
      <c r="G507" s="9" t="s">
        <v>77</v>
      </c>
      <c r="H507" s="3">
        <v>1606</v>
      </c>
      <c r="I507" s="3">
        <v>1562</v>
      </c>
      <c r="J507" s="3">
        <v>44</v>
      </c>
      <c r="K507" s="3">
        <v>2.7</v>
      </c>
      <c r="L507" s="3" t="s">
        <v>83</v>
      </c>
      <c r="M507">
        <f t="shared" si="45"/>
        <v>2002.6666666666667</v>
      </c>
      <c r="N507">
        <f t="shared" si="44"/>
        <v>1913.1278304124121</v>
      </c>
      <c r="O507">
        <f t="shared" si="41"/>
        <v>44</v>
      </c>
      <c r="P507" s="6">
        <f t="shared" si="42"/>
        <v>2.7397260273972601E-2</v>
      </c>
      <c r="Q507" s="6">
        <f t="shared" si="43"/>
        <v>0.19123775243612209</v>
      </c>
    </row>
    <row r="508" spans="1:17" x14ac:dyDescent="0.25">
      <c r="A508" s="2">
        <v>507</v>
      </c>
      <c r="B508" s="2" t="s">
        <v>39</v>
      </c>
      <c r="C508" s="2" t="s">
        <v>40</v>
      </c>
      <c r="D508" s="2" t="s">
        <v>74</v>
      </c>
      <c r="E508" s="2">
        <v>3</v>
      </c>
      <c r="F508" s="2">
        <v>2023</v>
      </c>
      <c r="G508" s="8" t="s">
        <v>79</v>
      </c>
      <c r="H508" s="2">
        <v>1958</v>
      </c>
      <c r="I508" s="2">
        <v>1936</v>
      </c>
      <c r="J508" s="2">
        <v>22</v>
      </c>
      <c r="K508" s="2">
        <v>1.1000000000000001</v>
      </c>
      <c r="L508" s="2" t="s">
        <v>76</v>
      </c>
      <c r="M508">
        <f t="shared" si="45"/>
        <v>1888.6666666666667</v>
      </c>
      <c r="N508">
        <f t="shared" si="44"/>
        <v>1820.9894812886882</v>
      </c>
      <c r="O508">
        <f t="shared" si="41"/>
        <v>22</v>
      </c>
      <c r="P508" s="6">
        <f t="shared" si="42"/>
        <v>1.1235955056179775E-2</v>
      </c>
      <c r="Q508" s="6">
        <f t="shared" si="43"/>
        <v>6.9974728657462598E-2</v>
      </c>
    </row>
    <row r="509" spans="1:17" x14ac:dyDescent="0.25">
      <c r="A509" s="3">
        <v>508</v>
      </c>
      <c r="B509" s="3" t="s">
        <v>39</v>
      </c>
      <c r="C509" s="3" t="s">
        <v>40</v>
      </c>
      <c r="D509" s="3" t="s">
        <v>74</v>
      </c>
      <c r="E509" s="3">
        <v>4</v>
      </c>
      <c r="F509" s="3">
        <v>2023</v>
      </c>
      <c r="G509" s="9" t="s">
        <v>80</v>
      </c>
      <c r="H509" s="3">
        <v>2333</v>
      </c>
      <c r="I509" s="3">
        <v>2465</v>
      </c>
      <c r="J509" s="3">
        <v>-132</v>
      </c>
      <c r="K509" s="3">
        <v>5.7</v>
      </c>
      <c r="L509" s="3" t="s">
        <v>78</v>
      </c>
      <c r="M509">
        <f t="shared" si="45"/>
        <v>1857.3333333333333</v>
      </c>
      <c r="N509">
        <f t="shared" si="44"/>
        <v>1862.0926369020817</v>
      </c>
      <c r="O509">
        <f t="shared" si="41"/>
        <v>132</v>
      </c>
      <c r="P509" s="6">
        <f t="shared" si="42"/>
        <v>5.6579511358765537E-2</v>
      </c>
      <c r="Q509" s="6">
        <f t="shared" si="43"/>
        <v>0.20184627651003784</v>
      </c>
    </row>
    <row r="510" spans="1:17" x14ac:dyDescent="0.25">
      <c r="A510" s="2">
        <v>509</v>
      </c>
      <c r="B510" s="2" t="s">
        <v>39</v>
      </c>
      <c r="C510" s="2" t="s">
        <v>40</v>
      </c>
      <c r="D510" s="2" t="s">
        <v>74</v>
      </c>
      <c r="E510" s="2">
        <v>5</v>
      </c>
      <c r="F510" s="2">
        <v>2023</v>
      </c>
      <c r="G510" s="8" t="s">
        <v>81</v>
      </c>
      <c r="H510" s="2">
        <v>2328</v>
      </c>
      <c r="I510" s="2">
        <v>2239</v>
      </c>
      <c r="J510" s="2">
        <v>89</v>
      </c>
      <c r="K510" s="2">
        <v>3.8</v>
      </c>
      <c r="L510" s="2" t="s">
        <v>76</v>
      </c>
      <c r="M510">
        <f t="shared" si="45"/>
        <v>1965.6666666666667</v>
      </c>
      <c r="N510">
        <f t="shared" si="44"/>
        <v>2003.3648458314569</v>
      </c>
      <c r="O510">
        <f t="shared" si="41"/>
        <v>89</v>
      </c>
      <c r="P510" s="6">
        <f t="shared" si="42"/>
        <v>3.8230240549828182E-2</v>
      </c>
      <c r="Q510" s="6">
        <f t="shared" si="43"/>
        <v>0.13944809027858379</v>
      </c>
    </row>
    <row r="511" spans="1:17" x14ac:dyDescent="0.25">
      <c r="A511" s="3">
        <v>510</v>
      </c>
      <c r="B511" s="3" t="s">
        <v>39</v>
      </c>
      <c r="C511" s="3" t="s">
        <v>40</v>
      </c>
      <c r="D511" s="3" t="s">
        <v>74</v>
      </c>
      <c r="E511" s="3">
        <v>6</v>
      </c>
      <c r="F511" s="3">
        <v>2023</v>
      </c>
      <c r="G511" s="9" t="s">
        <v>82</v>
      </c>
      <c r="H511" s="3">
        <v>2654</v>
      </c>
      <c r="I511" s="3">
        <v>2491</v>
      </c>
      <c r="J511" s="3">
        <v>163</v>
      </c>
      <c r="K511" s="3">
        <v>6.1</v>
      </c>
      <c r="L511" s="3" t="s">
        <v>83</v>
      </c>
      <c r="M511">
        <f t="shared" si="45"/>
        <v>2206.3333333333335</v>
      </c>
      <c r="N511">
        <f t="shared" si="44"/>
        <v>2100.7553920820196</v>
      </c>
      <c r="O511">
        <f t="shared" si="41"/>
        <v>163</v>
      </c>
      <c r="P511" s="6">
        <f t="shared" si="42"/>
        <v>6.1416729464958554E-2</v>
      </c>
      <c r="Q511" s="6">
        <f t="shared" si="43"/>
        <v>0.208456898235863</v>
      </c>
    </row>
    <row r="512" spans="1:17" x14ac:dyDescent="0.25">
      <c r="A512" s="2">
        <v>511</v>
      </c>
      <c r="B512" s="2" t="s">
        <v>39</v>
      </c>
      <c r="C512" s="2" t="s">
        <v>40</v>
      </c>
      <c r="D512" s="2" t="s">
        <v>74</v>
      </c>
      <c r="E512" s="2">
        <v>7</v>
      </c>
      <c r="F512" s="2">
        <v>2023</v>
      </c>
      <c r="G512" s="8" t="s">
        <v>84</v>
      </c>
      <c r="H512" s="2">
        <v>2630</v>
      </c>
      <c r="I512" s="2">
        <v>2884</v>
      </c>
      <c r="J512" s="2">
        <v>-254</v>
      </c>
      <c r="K512" s="2">
        <v>9.6999999999999993</v>
      </c>
      <c r="L512" s="2" t="s">
        <v>76</v>
      </c>
      <c r="M512">
        <f t="shared" si="45"/>
        <v>2438.3333333333335</v>
      </c>
      <c r="N512">
        <f t="shared" si="44"/>
        <v>2266.7287744574137</v>
      </c>
      <c r="O512">
        <f t="shared" si="41"/>
        <v>254</v>
      </c>
      <c r="P512" s="6">
        <f t="shared" si="42"/>
        <v>9.6577946768060835E-2</v>
      </c>
      <c r="Q512" s="6">
        <f t="shared" si="43"/>
        <v>0.13812594127094535</v>
      </c>
    </row>
    <row r="513" spans="1:17" x14ac:dyDescent="0.25">
      <c r="A513" s="3">
        <v>512</v>
      </c>
      <c r="B513" s="3" t="s">
        <v>39</v>
      </c>
      <c r="C513" s="3" t="s">
        <v>40</v>
      </c>
      <c r="D513" s="3" t="s">
        <v>74</v>
      </c>
      <c r="E513" s="3">
        <v>8</v>
      </c>
      <c r="F513" s="3">
        <v>2023</v>
      </c>
      <c r="G513" s="9" t="s">
        <v>85</v>
      </c>
      <c r="H513" s="3">
        <v>2459</v>
      </c>
      <c r="I513" s="3">
        <v>2595</v>
      </c>
      <c r="J513" s="3">
        <v>-136</v>
      </c>
      <c r="K513" s="3">
        <v>5.5</v>
      </c>
      <c r="L513" s="3" t="s">
        <v>83</v>
      </c>
      <c r="M513">
        <f t="shared" si="45"/>
        <v>2537.3333333333335</v>
      </c>
      <c r="N513">
        <f t="shared" si="44"/>
        <v>2375.7101421201896</v>
      </c>
      <c r="O513">
        <f t="shared" si="41"/>
        <v>136</v>
      </c>
      <c r="P513" s="6">
        <f t="shared" si="42"/>
        <v>5.5307035380235868E-2</v>
      </c>
      <c r="Q513" s="6">
        <f t="shared" si="43"/>
        <v>3.3871434680687422E-2</v>
      </c>
    </row>
    <row r="514" spans="1:17" x14ac:dyDescent="0.25">
      <c r="A514" s="2">
        <v>513</v>
      </c>
      <c r="B514" s="2" t="s">
        <v>39</v>
      </c>
      <c r="C514" s="2" t="s">
        <v>40</v>
      </c>
      <c r="D514" s="2" t="s">
        <v>74</v>
      </c>
      <c r="E514" s="2">
        <v>9</v>
      </c>
      <c r="F514" s="2">
        <v>2023</v>
      </c>
      <c r="G514" s="8" t="s">
        <v>86</v>
      </c>
      <c r="H514" s="2">
        <v>2214</v>
      </c>
      <c r="I514" s="2">
        <v>2420</v>
      </c>
      <c r="J514" s="2">
        <v>-206</v>
      </c>
      <c r="K514" s="2">
        <v>9.3000000000000007</v>
      </c>
      <c r="L514" s="2" t="s">
        <v>78</v>
      </c>
      <c r="M514">
        <f t="shared" si="45"/>
        <v>2581</v>
      </c>
      <c r="N514">
        <f t="shared" si="44"/>
        <v>2400.6970994841327</v>
      </c>
      <c r="O514">
        <f t="shared" si="41"/>
        <v>206</v>
      </c>
      <c r="P514" s="6">
        <f t="shared" si="42"/>
        <v>9.3044263775971095E-2</v>
      </c>
      <c r="Q514" s="6">
        <f t="shared" si="43"/>
        <v>8.4325699857331821E-2</v>
      </c>
    </row>
    <row r="515" spans="1:17" x14ac:dyDescent="0.25">
      <c r="A515" s="3">
        <v>514</v>
      </c>
      <c r="B515" s="3" t="s">
        <v>39</v>
      </c>
      <c r="C515" s="3" t="s">
        <v>40</v>
      </c>
      <c r="D515" s="3" t="s">
        <v>74</v>
      </c>
      <c r="E515" s="3">
        <v>10</v>
      </c>
      <c r="F515" s="3">
        <v>2023</v>
      </c>
      <c r="G515" s="9" t="s">
        <v>87</v>
      </c>
      <c r="H515" s="3">
        <v>2594</v>
      </c>
      <c r="I515" s="3">
        <v>2406</v>
      </c>
      <c r="J515" s="3">
        <v>188</v>
      </c>
      <c r="K515" s="3">
        <v>7.2</v>
      </c>
      <c r="L515" s="3" t="s">
        <v>76</v>
      </c>
      <c r="M515">
        <f t="shared" si="45"/>
        <v>2434.3333333333335</v>
      </c>
      <c r="N515">
        <f t="shared" si="44"/>
        <v>2344.6879696388928</v>
      </c>
      <c r="O515">
        <f t="shared" ref="O515:O578" si="46">ABS(H515-I515)</f>
        <v>188</v>
      </c>
      <c r="P515" s="6">
        <f t="shared" ref="P515:P578" si="47">ABS(O515)/H515</f>
        <v>7.2474942174248269E-2</v>
      </c>
      <c r="Q515" s="6">
        <f t="shared" ref="Q515:Q578" si="48">ABS((H515-N515))/H515</f>
        <v>9.6111037147689746E-2</v>
      </c>
    </row>
    <row r="516" spans="1:17" x14ac:dyDescent="0.25">
      <c r="A516" s="2">
        <v>515</v>
      </c>
      <c r="B516" s="2" t="s">
        <v>39</v>
      </c>
      <c r="C516" s="2" t="s">
        <v>40</v>
      </c>
      <c r="D516" s="2" t="s">
        <v>74</v>
      </c>
      <c r="E516" s="2">
        <v>11</v>
      </c>
      <c r="F516" s="2">
        <v>2023</v>
      </c>
      <c r="G516" s="8" t="s">
        <v>88</v>
      </c>
      <c r="H516" s="2">
        <v>2454</v>
      </c>
      <c r="I516" s="2">
        <v>2444</v>
      </c>
      <c r="J516" s="2">
        <v>10</v>
      </c>
      <c r="K516" s="2">
        <v>0.4</v>
      </c>
      <c r="L516" s="2" t="s">
        <v>76</v>
      </c>
      <c r="M516">
        <f t="shared" si="45"/>
        <v>2422.3333333333335</v>
      </c>
      <c r="N516">
        <f t="shared" ref="N516:N579" si="49">0.3*H515+(0.7*N515)</f>
        <v>2419.4815787472248</v>
      </c>
      <c r="O516">
        <f t="shared" si="46"/>
        <v>10</v>
      </c>
      <c r="P516" s="6">
        <f t="shared" si="47"/>
        <v>4.0749796251018742E-3</v>
      </c>
      <c r="Q516" s="6">
        <f t="shared" si="48"/>
        <v>1.4066186329574234E-2</v>
      </c>
    </row>
    <row r="517" spans="1:17" x14ac:dyDescent="0.25">
      <c r="A517" s="3">
        <v>516</v>
      </c>
      <c r="B517" s="3" t="s">
        <v>39</v>
      </c>
      <c r="C517" s="3" t="s">
        <v>40</v>
      </c>
      <c r="D517" s="3" t="s">
        <v>74</v>
      </c>
      <c r="E517" s="3">
        <v>12</v>
      </c>
      <c r="F517" s="3">
        <v>2023</v>
      </c>
      <c r="G517" s="9" t="s">
        <v>89</v>
      </c>
      <c r="H517" s="3">
        <v>2897</v>
      </c>
      <c r="I517" s="3">
        <v>2666</v>
      </c>
      <c r="J517" s="3">
        <v>231</v>
      </c>
      <c r="K517" s="3">
        <v>8</v>
      </c>
      <c r="L517" s="3" t="s">
        <v>83</v>
      </c>
      <c r="M517">
        <f t="shared" si="45"/>
        <v>2420.6666666666665</v>
      </c>
      <c r="N517">
        <f t="shared" si="49"/>
        <v>2429.8371051230574</v>
      </c>
      <c r="O517">
        <f t="shared" si="46"/>
        <v>231</v>
      </c>
      <c r="P517" s="6">
        <f t="shared" si="47"/>
        <v>7.973765964791163E-2</v>
      </c>
      <c r="Q517" s="6">
        <f t="shared" si="48"/>
        <v>0.16125747147978686</v>
      </c>
    </row>
    <row r="518" spans="1:17" x14ac:dyDescent="0.25">
      <c r="A518" s="2">
        <v>517</v>
      </c>
      <c r="B518" s="2" t="s">
        <v>39</v>
      </c>
      <c r="C518" s="2" t="s">
        <v>40</v>
      </c>
      <c r="D518" s="2" t="s">
        <v>74</v>
      </c>
      <c r="E518" s="2">
        <v>1</v>
      </c>
      <c r="F518" s="2">
        <v>2024</v>
      </c>
      <c r="G518" s="8" t="s">
        <v>90</v>
      </c>
      <c r="H518" s="2">
        <v>2027</v>
      </c>
      <c r="I518" s="2">
        <v>1939</v>
      </c>
      <c r="J518" s="2">
        <v>88</v>
      </c>
      <c r="K518" s="2">
        <v>4.3</v>
      </c>
      <c r="L518" s="2" t="s">
        <v>78</v>
      </c>
      <c r="M518">
        <f t="shared" ref="M518:M581" si="50">AVERAGE(H515:H517)</f>
        <v>2648.3333333333335</v>
      </c>
      <c r="N518">
        <f t="shared" si="49"/>
        <v>2569.9859735861401</v>
      </c>
      <c r="O518">
        <f t="shared" si="46"/>
        <v>88</v>
      </c>
      <c r="P518" s="6">
        <f t="shared" si="47"/>
        <v>4.3413912185495805E-2</v>
      </c>
      <c r="Q518" s="6">
        <f t="shared" si="48"/>
        <v>0.26787665199118899</v>
      </c>
    </row>
    <row r="519" spans="1:17" x14ac:dyDescent="0.25">
      <c r="A519" s="3">
        <v>518</v>
      </c>
      <c r="B519" s="3" t="s">
        <v>39</v>
      </c>
      <c r="C519" s="3" t="s">
        <v>40</v>
      </c>
      <c r="D519" s="3" t="s">
        <v>74</v>
      </c>
      <c r="E519" s="3">
        <v>2</v>
      </c>
      <c r="F519" s="3">
        <v>2024</v>
      </c>
      <c r="G519" s="9" t="s">
        <v>91</v>
      </c>
      <c r="H519" s="3">
        <v>1705</v>
      </c>
      <c r="I519" s="3">
        <v>1843</v>
      </c>
      <c r="J519" s="3">
        <v>-138</v>
      </c>
      <c r="K519" s="3">
        <v>8.1</v>
      </c>
      <c r="L519" s="3" t="s">
        <v>78</v>
      </c>
      <c r="M519">
        <f t="shared" si="50"/>
        <v>2459.3333333333335</v>
      </c>
      <c r="N519">
        <f t="shared" si="49"/>
        <v>2407.090181510298</v>
      </c>
      <c r="O519">
        <f t="shared" si="46"/>
        <v>138</v>
      </c>
      <c r="P519" s="6">
        <f t="shared" si="47"/>
        <v>8.0938416422287385E-2</v>
      </c>
      <c r="Q519" s="6">
        <f t="shared" si="48"/>
        <v>0.41178309765999882</v>
      </c>
    </row>
    <row r="520" spans="1:17" x14ac:dyDescent="0.25">
      <c r="A520" s="2">
        <v>519</v>
      </c>
      <c r="B520" s="2" t="s">
        <v>39</v>
      </c>
      <c r="C520" s="2" t="s">
        <v>40</v>
      </c>
      <c r="D520" s="2" t="s">
        <v>74</v>
      </c>
      <c r="E520" s="2">
        <v>3</v>
      </c>
      <c r="F520" s="2">
        <v>2024</v>
      </c>
      <c r="G520" s="8" t="s">
        <v>92</v>
      </c>
      <c r="H520" s="2">
        <v>2256</v>
      </c>
      <c r="I520" s="2">
        <v>2071</v>
      </c>
      <c r="J520" s="2">
        <v>185</v>
      </c>
      <c r="K520" s="2">
        <v>8.1999999999999993</v>
      </c>
      <c r="L520" s="2" t="s">
        <v>78</v>
      </c>
      <c r="M520">
        <f t="shared" si="50"/>
        <v>2209.6666666666665</v>
      </c>
      <c r="N520">
        <f t="shared" si="49"/>
        <v>2196.4631270572086</v>
      </c>
      <c r="O520">
        <f t="shared" si="46"/>
        <v>185</v>
      </c>
      <c r="P520" s="6">
        <f t="shared" si="47"/>
        <v>8.2003546099290781E-2</v>
      </c>
      <c r="Q520" s="6">
        <f t="shared" si="48"/>
        <v>2.6390457864712516E-2</v>
      </c>
    </row>
    <row r="521" spans="1:17" x14ac:dyDescent="0.25">
      <c r="A521" s="3">
        <v>520</v>
      </c>
      <c r="B521" s="3" t="s">
        <v>39</v>
      </c>
      <c r="C521" s="3" t="s">
        <v>40</v>
      </c>
      <c r="D521" s="3" t="s">
        <v>74</v>
      </c>
      <c r="E521" s="3">
        <v>4</v>
      </c>
      <c r="F521" s="3">
        <v>2024</v>
      </c>
      <c r="G521" s="9" t="s">
        <v>93</v>
      </c>
      <c r="H521" s="3">
        <v>2367</v>
      </c>
      <c r="I521" s="3">
        <v>2549</v>
      </c>
      <c r="J521" s="3">
        <v>-182</v>
      </c>
      <c r="K521" s="3">
        <v>7.7</v>
      </c>
      <c r="L521" s="3" t="s">
        <v>78</v>
      </c>
      <c r="M521">
        <f t="shared" si="50"/>
        <v>1996</v>
      </c>
      <c r="N521">
        <f t="shared" si="49"/>
        <v>2214.324188940046</v>
      </c>
      <c r="O521">
        <f t="shared" si="46"/>
        <v>182</v>
      </c>
      <c r="P521" s="6">
        <f t="shared" si="47"/>
        <v>7.6890578791719483E-2</v>
      </c>
      <c r="Q521" s="6">
        <f t="shared" si="48"/>
        <v>6.4501821318104752E-2</v>
      </c>
    </row>
    <row r="522" spans="1:17" x14ac:dyDescent="0.25">
      <c r="A522" s="2">
        <v>521</v>
      </c>
      <c r="B522" s="2" t="s">
        <v>39</v>
      </c>
      <c r="C522" s="2" t="s">
        <v>40</v>
      </c>
      <c r="D522" s="2" t="s">
        <v>74</v>
      </c>
      <c r="E522" s="2">
        <v>5</v>
      </c>
      <c r="F522" s="2">
        <v>2024</v>
      </c>
      <c r="G522" s="8" t="s">
        <v>94</v>
      </c>
      <c r="H522" s="2">
        <v>2262</v>
      </c>
      <c r="I522" s="2">
        <v>2215</v>
      </c>
      <c r="J522" s="2">
        <v>47</v>
      </c>
      <c r="K522" s="2">
        <v>2.1</v>
      </c>
      <c r="L522" s="2" t="s">
        <v>76</v>
      </c>
      <c r="M522">
        <f t="shared" si="50"/>
        <v>2109.3333333333335</v>
      </c>
      <c r="N522">
        <f t="shared" si="49"/>
        <v>2260.126932258032</v>
      </c>
      <c r="O522">
        <f t="shared" si="46"/>
        <v>47</v>
      </c>
      <c r="P522" s="6">
        <f t="shared" si="47"/>
        <v>2.0778072502210435E-2</v>
      </c>
      <c r="Q522" s="6">
        <f t="shared" si="48"/>
        <v>8.2805824136518273E-4</v>
      </c>
    </row>
    <row r="523" spans="1:17" x14ac:dyDescent="0.25">
      <c r="A523" s="3">
        <v>522</v>
      </c>
      <c r="B523" s="3" t="s">
        <v>39</v>
      </c>
      <c r="C523" s="3" t="s">
        <v>40</v>
      </c>
      <c r="D523" s="3" t="s">
        <v>74</v>
      </c>
      <c r="E523" s="3">
        <v>6</v>
      </c>
      <c r="F523" s="3">
        <v>2024</v>
      </c>
      <c r="G523" s="9" t="s">
        <v>95</v>
      </c>
      <c r="H523" s="3">
        <v>2266</v>
      </c>
      <c r="I523" s="3">
        <v>2490</v>
      </c>
      <c r="J523" s="3">
        <v>-224</v>
      </c>
      <c r="K523" s="3">
        <v>9.9</v>
      </c>
      <c r="L523" s="3" t="s">
        <v>76</v>
      </c>
      <c r="M523">
        <f t="shared" si="50"/>
        <v>2295</v>
      </c>
      <c r="N523">
        <f t="shared" si="49"/>
        <v>2260.6888525806221</v>
      </c>
      <c r="O523">
        <f t="shared" si="46"/>
        <v>224</v>
      </c>
      <c r="P523" s="6">
        <f t="shared" si="47"/>
        <v>9.8852603706972644E-2</v>
      </c>
      <c r="Q523" s="6">
        <f t="shared" si="48"/>
        <v>2.3438426387369388E-3</v>
      </c>
    </row>
    <row r="524" spans="1:17" x14ac:dyDescent="0.25">
      <c r="A524" s="2">
        <v>523</v>
      </c>
      <c r="B524" s="2" t="s">
        <v>39</v>
      </c>
      <c r="C524" s="2" t="s">
        <v>40</v>
      </c>
      <c r="D524" s="2" t="s">
        <v>74</v>
      </c>
      <c r="E524" s="2">
        <v>7</v>
      </c>
      <c r="F524" s="2">
        <v>2024</v>
      </c>
      <c r="G524" s="8" t="s">
        <v>96</v>
      </c>
      <c r="H524" s="2">
        <v>2218</v>
      </c>
      <c r="I524" s="2">
        <v>2137</v>
      </c>
      <c r="J524" s="2">
        <v>81</v>
      </c>
      <c r="K524" s="2">
        <v>3.7</v>
      </c>
      <c r="L524" s="2" t="s">
        <v>78</v>
      </c>
      <c r="M524">
        <f t="shared" si="50"/>
        <v>2298.3333333333335</v>
      </c>
      <c r="N524">
        <f t="shared" si="49"/>
        <v>2262.2821968064354</v>
      </c>
      <c r="O524">
        <f t="shared" si="46"/>
        <v>81</v>
      </c>
      <c r="P524" s="6">
        <f t="shared" si="47"/>
        <v>3.6519386834986477E-2</v>
      </c>
      <c r="Q524" s="6">
        <f t="shared" si="48"/>
        <v>1.9964921914533553E-2</v>
      </c>
    </row>
    <row r="525" spans="1:17" x14ac:dyDescent="0.25">
      <c r="A525" s="3">
        <v>524</v>
      </c>
      <c r="B525" s="3" t="s">
        <v>39</v>
      </c>
      <c r="C525" s="3" t="s">
        <v>40</v>
      </c>
      <c r="D525" s="3" t="s">
        <v>74</v>
      </c>
      <c r="E525" s="3">
        <v>8</v>
      </c>
      <c r="F525" s="3">
        <v>2024</v>
      </c>
      <c r="G525" s="9" t="s">
        <v>97</v>
      </c>
      <c r="H525" s="3">
        <v>2498</v>
      </c>
      <c r="I525" s="3">
        <v>2572</v>
      </c>
      <c r="J525" s="3">
        <v>-74</v>
      </c>
      <c r="K525" s="3">
        <v>3</v>
      </c>
      <c r="L525" s="3" t="s">
        <v>78</v>
      </c>
      <c r="M525">
        <f t="shared" si="50"/>
        <v>2248.6666666666665</v>
      </c>
      <c r="N525">
        <f t="shared" si="49"/>
        <v>2248.9975377645046</v>
      </c>
      <c r="O525">
        <f t="shared" si="46"/>
        <v>74</v>
      </c>
      <c r="P525" s="6">
        <f t="shared" si="47"/>
        <v>2.9623698959167333E-2</v>
      </c>
      <c r="Q525" s="6">
        <f t="shared" si="48"/>
        <v>9.968072947778038E-2</v>
      </c>
    </row>
    <row r="526" spans="1:17" x14ac:dyDescent="0.25">
      <c r="A526" s="2">
        <v>525</v>
      </c>
      <c r="B526" s="2" t="s">
        <v>39</v>
      </c>
      <c r="C526" s="2" t="s">
        <v>40</v>
      </c>
      <c r="D526" s="2" t="s">
        <v>74</v>
      </c>
      <c r="E526" s="2">
        <v>9</v>
      </c>
      <c r="F526" s="2">
        <v>2024</v>
      </c>
      <c r="G526" s="8" t="s">
        <v>98</v>
      </c>
      <c r="H526" s="2">
        <v>2008</v>
      </c>
      <c r="I526" s="2">
        <v>1922</v>
      </c>
      <c r="J526" s="2">
        <v>86</v>
      </c>
      <c r="K526" s="2">
        <v>4.3</v>
      </c>
      <c r="L526" s="2" t="s">
        <v>76</v>
      </c>
      <c r="M526">
        <f t="shared" si="50"/>
        <v>2327.3333333333335</v>
      </c>
      <c r="N526">
        <f t="shared" si="49"/>
        <v>2323.6982764351533</v>
      </c>
      <c r="O526">
        <f t="shared" si="46"/>
        <v>86</v>
      </c>
      <c r="P526" s="6">
        <f t="shared" si="47"/>
        <v>4.282868525896414E-2</v>
      </c>
      <c r="Q526" s="6">
        <f t="shared" si="48"/>
        <v>0.15722025718882135</v>
      </c>
    </row>
    <row r="527" spans="1:17" x14ac:dyDescent="0.25">
      <c r="A527" s="3">
        <v>526</v>
      </c>
      <c r="B527" s="3" t="s">
        <v>39</v>
      </c>
      <c r="C527" s="3" t="s">
        <v>40</v>
      </c>
      <c r="D527" s="3" t="s">
        <v>74</v>
      </c>
      <c r="E527" s="3">
        <v>10</v>
      </c>
      <c r="F527" s="3">
        <v>2024</v>
      </c>
      <c r="G527" s="9" t="s">
        <v>99</v>
      </c>
      <c r="H527" s="3">
        <v>2533</v>
      </c>
      <c r="I527" s="3">
        <v>2350</v>
      </c>
      <c r="J527" s="3">
        <v>183</v>
      </c>
      <c r="K527" s="3">
        <v>7.2</v>
      </c>
      <c r="L527" s="3" t="s">
        <v>83</v>
      </c>
      <c r="M527">
        <f t="shared" si="50"/>
        <v>2241.3333333333335</v>
      </c>
      <c r="N527">
        <f t="shared" si="49"/>
        <v>2228.9887935046072</v>
      </c>
      <c r="O527">
        <f t="shared" si="46"/>
        <v>183</v>
      </c>
      <c r="P527" s="6">
        <f t="shared" si="47"/>
        <v>7.2246348203711008E-2</v>
      </c>
      <c r="Q527" s="6">
        <f t="shared" si="48"/>
        <v>0.12002021575025378</v>
      </c>
    </row>
    <row r="528" spans="1:17" x14ac:dyDescent="0.25">
      <c r="A528" s="2">
        <v>527</v>
      </c>
      <c r="B528" s="2" t="s">
        <v>39</v>
      </c>
      <c r="C528" s="2" t="s">
        <v>40</v>
      </c>
      <c r="D528" s="2" t="s">
        <v>74</v>
      </c>
      <c r="E528" s="2">
        <v>11</v>
      </c>
      <c r="F528" s="2">
        <v>2024</v>
      </c>
      <c r="G528" s="8" t="s">
        <v>100</v>
      </c>
      <c r="H528" s="2">
        <v>2729</v>
      </c>
      <c r="I528" s="2">
        <v>2791</v>
      </c>
      <c r="J528" s="2">
        <v>-62</v>
      </c>
      <c r="K528" s="2">
        <v>2.2999999999999998</v>
      </c>
      <c r="L528" s="2" t="s">
        <v>78</v>
      </c>
      <c r="M528">
        <f t="shared" si="50"/>
        <v>2346.3333333333335</v>
      </c>
      <c r="N528">
        <f t="shared" si="49"/>
        <v>2320.192155453225</v>
      </c>
      <c r="O528">
        <f t="shared" si="46"/>
        <v>62</v>
      </c>
      <c r="P528" s="6">
        <f t="shared" si="47"/>
        <v>2.2718944668376696E-2</v>
      </c>
      <c r="Q528" s="6">
        <f t="shared" si="48"/>
        <v>0.14980133548800842</v>
      </c>
    </row>
    <row r="529" spans="1:17" x14ac:dyDescent="0.25">
      <c r="A529" s="3">
        <v>528</v>
      </c>
      <c r="B529" s="3" t="s">
        <v>39</v>
      </c>
      <c r="C529" s="3" t="s">
        <v>40</v>
      </c>
      <c r="D529" s="3" t="s">
        <v>74</v>
      </c>
      <c r="E529" s="3">
        <v>12</v>
      </c>
      <c r="F529" s="3">
        <v>2024</v>
      </c>
      <c r="G529" s="9" t="s">
        <v>101</v>
      </c>
      <c r="H529" s="3">
        <v>2529</v>
      </c>
      <c r="I529" s="3">
        <v>2385</v>
      </c>
      <c r="J529" s="3">
        <v>144</v>
      </c>
      <c r="K529" s="3">
        <v>5.7</v>
      </c>
      <c r="L529" s="3" t="s">
        <v>78</v>
      </c>
      <c r="M529">
        <f t="shared" si="50"/>
        <v>2423.3333333333335</v>
      </c>
      <c r="N529">
        <f t="shared" si="49"/>
        <v>2442.8345088172573</v>
      </c>
      <c r="O529">
        <f t="shared" si="46"/>
        <v>144</v>
      </c>
      <c r="P529" s="6">
        <f t="shared" si="47"/>
        <v>5.6939501779359428E-2</v>
      </c>
      <c r="Q529" s="6">
        <f t="shared" si="48"/>
        <v>3.4070973184160816E-2</v>
      </c>
    </row>
    <row r="530" spans="1:17" x14ac:dyDescent="0.25">
      <c r="A530" s="2">
        <v>529</v>
      </c>
      <c r="B530" s="2" t="s">
        <v>39</v>
      </c>
      <c r="C530" s="2" t="s">
        <v>40</v>
      </c>
      <c r="D530" s="2" t="s">
        <v>102</v>
      </c>
      <c r="E530" s="2">
        <v>1</v>
      </c>
      <c r="F530" s="2">
        <v>2023</v>
      </c>
      <c r="G530" s="8" t="s">
        <v>75</v>
      </c>
      <c r="H530" s="2">
        <v>1608</v>
      </c>
      <c r="I530" s="2">
        <v>1681</v>
      </c>
      <c r="J530" s="2">
        <v>-73</v>
      </c>
      <c r="K530" s="2">
        <v>4.5</v>
      </c>
      <c r="L530" s="2" t="s">
        <v>83</v>
      </c>
      <c r="M530">
        <f t="shared" si="50"/>
        <v>2597</v>
      </c>
      <c r="N530">
        <f t="shared" si="49"/>
        <v>2468.6841561720798</v>
      </c>
      <c r="O530">
        <f t="shared" si="46"/>
        <v>73</v>
      </c>
      <c r="P530" s="6">
        <f t="shared" si="47"/>
        <v>4.5398009950248758E-2</v>
      </c>
      <c r="Q530" s="6">
        <f t="shared" si="48"/>
        <v>0.53525134090303472</v>
      </c>
    </row>
    <row r="531" spans="1:17" x14ac:dyDescent="0.25">
      <c r="A531" s="3">
        <v>530</v>
      </c>
      <c r="B531" s="3" t="s">
        <v>39</v>
      </c>
      <c r="C531" s="3" t="s">
        <v>40</v>
      </c>
      <c r="D531" s="3" t="s">
        <v>102</v>
      </c>
      <c r="E531" s="3">
        <v>2</v>
      </c>
      <c r="F531" s="3">
        <v>2023</v>
      </c>
      <c r="G531" s="9" t="s">
        <v>77</v>
      </c>
      <c r="H531" s="3">
        <v>1505</v>
      </c>
      <c r="I531" s="3">
        <v>1588</v>
      </c>
      <c r="J531" s="3">
        <v>-83</v>
      </c>
      <c r="K531" s="3">
        <v>5.5</v>
      </c>
      <c r="L531" s="3" t="s">
        <v>78</v>
      </c>
      <c r="M531">
        <f t="shared" si="50"/>
        <v>2288.6666666666665</v>
      </c>
      <c r="N531">
        <f t="shared" si="49"/>
        <v>2210.4789093204558</v>
      </c>
      <c r="O531">
        <f t="shared" si="46"/>
        <v>83</v>
      </c>
      <c r="P531" s="6">
        <f t="shared" si="47"/>
        <v>5.5149501661129571E-2</v>
      </c>
      <c r="Q531" s="6">
        <f t="shared" si="48"/>
        <v>0.46875675037904041</v>
      </c>
    </row>
    <row r="532" spans="1:17" x14ac:dyDescent="0.25">
      <c r="A532" s="2">
        <v>531</v>
      </c>
      <c r="B532" s="2" t="s">
        <v>39</v>
      </c>
      <c r="C532" s="2" t="s">
        <v>40</v>
      </c>
      <c r="D532" s="2" t="s">
        <v>102</v>
      </c>
      <c r="E532" s="2">
        <v>3</v>
      </c>
      <c r="F532" s="2">
        <v>2023</v>
      </c>
      <c r="G532" s="8" t="s">
        <v>79</v>
      </c>
      <c r="H532" s="2">
        <v>1691</v>
      </c>
      <c r="I532" s="2">
        <v>1538</v>
      </c>
      <c r="J532" s="2">
        <v>153</v>
      </c>
      <c r="K532" s="2">
        <v>9</v>
      </c>
      <c r="L532" s="2" t="s">
        <v>76</v>
      </c>
      <c r="M532">
        <f t="shared" si="50"/>
        <v>1880.6666666666667</v>
      </c>
      <c r="N532">
        <f t="shared" si="49"/>
        <v>1998.835236524319</v>
      </c>
      <c r="O532">
        <f t="shared" si="46"/>
        <v>153</v>
      </c>
      <c r="P532" s="6">
        <f t="shared" si="47"/>
        <v>9.0479006505026605E-2</v>
      </c>
      <c r="Q532" s="6">
        <f t="shared" si="48"/>
        <v>0.18204330959451157</v>
      </c>
    </row>
    <row r="533" spans="1:17" x14ac:dyDescent="0.25">
      <c r="A533" s="3">
        <v>532</v>
      </c>
      <c r="B533" s="3" t="s">
        <v>39</v>
      </c>
      <c r="C533" s="3" t="s">
        <v>40</v>
      </c>
      <c r="D533" s="3" t="s">
        <v>102</v>
      </c>
      <c r="E533" s="3">
        <v>4</v>
      </c>
      <c r="F533" s="3">
        <v>2023</v>
      </c>
      <c r="G533" s="9" t="s">
        <v>80</v>
      </c>
      <c r="H533" s="3">
        <v>1932</v>
      </c>
      <c r="I533" s="3">
        <v>1979</v>
      </c>
      <c r="J533" s="3">
        <v>-47</v>
      </c>
      <c r="K533" s="3">
        <v>2.4</v>
      </c>
      <c r="L533" s="3" t="s">
        <v>78</v>
      </c>
      <c r="M533">
        <f t="shared" si="50"/>
        <v>1601.3333333333333</v>
      </c>
      <c r="N533">
        <f t="shared" si="49"/>
        <v>1906.4846655670233</v>
      </c>
      <c r="O533">
        <f t="shared" si="46"/>
        <v>47</v>
      </c>
      <c r="P533" s="6">
        <f t="shared" si="47"/>
        <v>2.4327122153209108E-2</v>
      </c>
      <c r="Q533" s="6">
        <f t="shared" si="48"/>
        <v>1.3206694841085257E-2</v>
      </c>
    </row>
    <row r="534" spans="1:17" x14ac:dyDescent="0.25">
      <c r="A534" s="2">
        <v>533</v>
      </c>
      <c r="B534" s="2" t="s">
        <v>39</v>
      </c>
      <c r="C534" s="2" t="s">
        <v>40</v>
      </c>
      <c r="D534" s="2" t="s">
        <v>102</v>
      </c>
      <c r="E534" s="2">
        <v>5</v>
      </c>
      <c r="F534" s="2">
        <v>2023</v>
      </c>
      <c r="G534" s="8" t="s">
        <v>81</v>
      </c>
      <c r="H534" s="2">
        <v>1780</v>
      </c>
      <c r="I534" s="2">
        <v>1924</v>
      </c>
      <c r="J534" s="2">
        <v>-144</v>
      </c>
      <c r="K534" s="2">
        <v>8.1</v>
      </c>
      <c r="L534" s="2" t="s">
        <v>83</v>
      </c>
      <c r="M534">
        <f t="shared" si="50"/>
        <v>1709.3333333333333</v>
      </c>
      <c r="N534">
        <f t="shared" si="49"/>
        <v>1914.1392658969162</v>
      </c>
      <c r="O534">
        <f t="shared" si="46"/>
        <v>144</v>
      </c>
      <c r="P534" s="6">
        <f t="shared" si="47"/>
        <v>8.0898876404494377E-2</v>
      </c>
      <c r="Q534" s="6">
        <f t="shared" si="48"/>
        <v>7.5359138144334939E-2</v>
      </c>
    </row>
    <row r="535" spans="1:17" x14ac:dyDescent="0.25">
      <c r="A535" s="3">
        <v>534</v>
      </c>
      <c r="B535" s="3" t="s">
        <v>39</v>
      </c>
      <c r="C535" s="3" t="s">
        <v>40</v>
      </c>
      <c r="D535" s="3" t="s">
        <v>102</v>
      </c>
      <c r="E535" s="3">
        <v>6</v>
      </c>
      <c r="F535" s="3">
        <v>2023</v>
      </c>
      <c r="G535" s="9" t="s">
        <v>82</v>
      </c>
      <c r="H535" s="3">
        <v>2074</v>
      </c>
      <c r="I535" s="3">
        <v>2128</v>
      </c>
      <c r="J535" s="3">
        <v>-54</v>
      </c>
      <c r="K535" s="3">
        <v>2.6</v>
      </c>
      <c r="L535" s="3" t="s">
        <v>83</v>
      </c>
      <c r="M535">
        <f t="shared" si="50"/>
        <v>1801</v>
      </c>
      <c r="N535">
        <f t="shared" si="49"/>
        <v>1873.8974861278411</v>
      </c>
      <c r="O535">
        <f t="shared" si="46"/>
        <v>54</v>
      </c>
      <c r="P535" s="6">
        <f t="shared" si="47"/>
        <v>2.6036644165863067E-2</v>
      </c>
      <c r="Q535" s="6">
        <f t="shared" si="48"/>
        <v>9.648144352563108E-2</v>
      </c>
    </row>
    <row r="536" spans="1:17" x14ac:dyDescent="0.25">
      <c r="A536" s="2">
        <v>535</v>
      </c>
      <c r="B536" s="2" t="s">
        <v>39</v>
      </c>
      <c r="C536" s="2" t="s">
        <v>40</v>
      </c>
      <c r="D536" s="2" t="s">
        <v>102</v>
      </c>
      <c r="E536" s="2">
        <v>7</v>
      </c>
      <c r="F536" s="2">
        <v>2023</v>
      </c>
      <c r="G536" s="8" t="s">
        <v>84</v>
      </c>
      <c r="H536" s="2">
        <v>1894</v>
      </c>
      <c r="I536" s="2">
        <v>1758</v>
      </c>
      <c r="J536" s="2">
        <v>136</v>
      </c>
      <c r="K536" s="2">
        <v>7.2</v>
      </c>
      <c r="L536" s="2" t="s">
        <v>76</v>
      </c>
      <c r="M536">
        <f t="shared" si="50"/>
        <v>1928.6666666666667</v>
      </c>
      <c r="N536">
        <f t="shared" si="49"/>
        <v>1933.9282402894887</v>
      </c>
      <c r="O536">
        <f t="shared" si="46"/>
        <v>136</v>
      </c>
      <c r="P536" s="6">
        <f t="shared" si="47"/>
        <v>7.1805702217529035E-2</v>
      </c>
      <c r="Q536" s="6">
        <f t="shared" si="48"/>
        <v>2.1081436266889499E-2</v>
      </c>
    </row>
    <row r="537" spans="1:17" x14ac:dyDescent="0.25">
      <c r="A537" s="3">
        <v>536</v>
      </c>
      <c r="B537" s="3" t="s">
        <v>39</v>
      </c>
      <c r="C537" s="3" t="s">
        <v>40</v>
      </c>
      <c r="D537" s="3" t="s">
        <v>102</v>
      </c>
      <c r="E537" s="3">
        <v>8</v>
      </c>
      <c r="F537" s="3">
        <v>2023</v>
      </c>
      <c r="G537" s="9" t="s">
        <v>85</v>
      </c>
      <c r="H537" s="3">
        <v>1728</v>
      </c>
      <c r="I537" s="3">
        <v>1677</v>
      </c>
      <c r="J537" s="3">
        <v>51</v>
      </c>
      <c r="K537" s="3">
        <v>3</v>
      </c>
      <c r="L537" s="3" t="s">
        <v>83</v>
      </c>
      <c r="M537">
        <f t="shared" si="50"/>
        <v>1916</v>
      </c>
      <c r="N537">
        <f t="shared" si="49"/>
        <v>1921.9497682026417</v>
      </c>
      <c r="O537">
        <f t="shared" si="46"/>
        <v>51</v>
      </c>
      <c r="P537" s="6">
        <f t="shared" si="47"/>
        <v>2.9513888888888888E-2</v>
      </c>
      <c r="Q537" s="6">
        <f t="shared" si="48"/>
        <v>0.1122394491913436</v>
      </c>
    </row>
    <row r="538" spans="1:17" x14ac:dyDescent="0.25">
      <c r="A538" s="2">
        <v>537</v>
      </c>
      <c r="B538" s="2" t="s">
        <v>39</v>
      </c>
      <c r="C538" s="2" t="s">
        <v>40</v>
      </c>
      <c r="D538" s="2" t="s">
        <v>102</v>
      </c>
      <c r="E538" s="2">
        <v>9</v>
      </c>
      <c r="F538" s="2">
        <v>2023</v>
      </c>
      <c r="G538" s="8" t="s">
        <v>86</v>
      </c>
      <c r="H538" s="2">
        <v>1832</v>
      </c>
      <c r="I538" s="2">
        <v>1892</v>
      </c>
      <c r="J538" s="2">
        <v>-60</v>
      </c>
      <c r="K538" s="2">
        <v>3.3</v>
      </c>
      <c r="L538" s="2" t="s">
        <v>78</v>
      </c>
      <c r="M538">
        <f t="shared" si="50"/>
        <v>1898.6666666666667</v>
      </c>
      <c r="N538">
        <f t="shared" si="49"/>
        <v>1863.7648377418491</v>
      </c>
      <c r="O538">
        <f t="shared" si="46"/>
        <v>60</v>
      </c>
      <c r="P538" s="6">
        <f t="shared" si="47"/>
        <v>3.2751091703056769E-2</v>
      </c>
      <c r="Q538" s="6">
        <f t="shared" si="48"/>
        <v>1.7338885230266964E-2</v>
      </c>
    </row>
    <row r="539" spans="1:17" x14ac:dyDescent="0.25">
      <c r="A539" s="3">
        <v>538</v>
      </c>
      <c r="B539" s="3" t="s">
        <v>39</v>
      </c>
      <c r="C539" s="3" t="s">
        <v>40</v>
      </c>
      <c r="D539" s="3" t="s">
        <v>102</v>
      </c>
      <c r="E539" s="3">
        <v>10</v>
      </c>
      <c r="F539" s="3">
        <v>2023</v>
      </c>
      <c r="G539" s="9" t="s">
        <v>87</v>
      </c>
      <c r="H539" s="3">
        <v>2068</v>
      </c>
      <c r="I539" s="3">
        <v>2010</v>
      </c>
      <c r="J539" s="3">
        <v>58</v>
      </c>
      <c r="K539" s="3">
        <v>2.8</v>
      </c>
      <c r="L539" s="3" t="s">
        <v>83</v>
      </c>
      <c r="M539">
        <f t="shared" si="50"/>
        <v>1818</v>
      </c>
      <c r="N539">
        <f t="shared" si="49"/>
        <v>1854.2353864192942</v>
      </c>
      <c r="O539">
        <f t="shared" si="46"/>
        <v>58</v>
      </c>
      <c r="P539" s="6">
        <f t="shared" si="47"/>
        <v>2.8046421663442941E-2</v>
      </c>
      <c r="Q539" s="6">
        <f t="shared" si="48"/>
        <v>0.10336780153805891</v>
      </c>
    </row>
    <row r="540" spans="1:17" x14ac:dyDescent="0.25">
      <c r="A540" s="2">
        <v>539</v>
      </c>
      <c r="B540" s="2" t="s">
        <v>39</v>
      </c>
      <c r="C540" s="2" t="s">
        <v>40</v>
      </c>
      <c r="D540" s="2" t="s">
        <v>102</v>
      </c>
      <c r="E540" s="2">
        <v>11</v>
      </c>
      <c r="F540" s="2">
        <v>2023</v>
      </c>
      <c r="G540" s="8" t="s">
        <v>88</v>
      </c>
      <c r="H540" s="2">
        <v>2362</v>
      </c>
      <c r="I540" s="2">
        <v>2497</v>
      </c>
      <c r="J540" s="2">
        <v>-135</v>
      </c>
      <c r="K540" s="2">
        <v>5.7</v>
      </c>
      <c r="L540" s="2" t="s">
        <v>83</v>
      </c>
      <c r="M540">
        <f t="shared" si="50"/>
        <v>1876</v>
      </c>
      <c r="N540">
        <f t="shared" si="49"/>
        <v>1918.3647704935056</v>
      </c>
      <c r="O540">
        <f t="shared" si="46"/>
        <v>135</v>
      </c>
      <c r="P540" s="6">
        <f t="shared" si="47"/>
        <v>5.7154953429297203E-2</v>
      </c>
      <c r="Q540" s="6">
        <f t="shared" si="48"/>
        <v>0.18782185838547605</v>
      </c>
    </row>
    <row r="541" spans="1:17" x14ac:dyDescent="0.25">
      <c r="A541" s="3">
        <v>540</v>
      </c>
      <c r="B541" s="3" t="s">
        <v>39</v>
      </c>
      <c r="C541" s="3" t="s">
        <v>40</v>
      </c>
      <c r="D541" s="3" t="s">
        <v>102</v>
      </c>
      <c r="E541" s="3">
        <v>12</v>
      </c>
      <c r="F541" s="3">
        <v>2023</v>
      </c>
      <c r="G541" s="9" t="s">
        <v>89</v>
      </c>
      <c r="H541" s="3">
        <v>2462</v>
      </c>
      <c r="I541" s="3">
        <v>2408</v>
      </c>
      <c r="J541" s="3">
        <v>54</v>
      </c>
      <c r="K541" s="3">
        <v>2.2000000000000002</v>
      </c>
      <c r="L541" s="3" t="s">
        <v>76</v>
      </c>
      <c r="M541">
        <f t="shared" si="50"/>
        <v>2087.3333333333335</v>
      </c>
      <c r="N541">
        <f t="shared" si="49"/>
        <v>2051.4553393454539</v>
      </c>
      <c r="O541">
        <f t="shared" si="46"/>
        <v>54</v>
      </c>
      <c r="P541" s="6">
        <f t="shared" si="47"/>
        <v>2.1933387489845652E-2</v>
      </c>
      <c r="Q541" s="6">
        <f t="shared" si="48"/>
        <v>0.16675250229672869</v>
      </c>
    </row>
    <row r="542" spans="1:17" x14ac:dyDescent="0.25">
      <c r="A542" s="2">
        <v>541</v>
      </c>
      <c r="B542" s="2" t="s">
        <v>39</v>
      </c>
      <c r="C542" s="2" t="s">
        <v>40</v>
      </c>
      <c r="D542" s="2" t="s">
        <v>102</v>
      </c>
      <c r="E542" s="2">
        <v>1</v>
      </c>
      <c r="F542" s="2">
        <v>2024</v>
      </c>
      <c r="G542" s="8" t="s">
        <v>90</v>
      </c>
      <c r="H542" s="2">
        <v>1415</v>
      </c>
      <c r="I542" s="2">
        <v>1382</v>
      </c>
      <c r="J542" s="2">
        <v>33</v>
      </c>
      <c r="K542" s="2">
        <v>2.2999999999999998</v>
      </c>
      <c r="L542" s="2" t="s">
        <v>76</v>
      </c>
      <c r="M542">
        <f t="shared" si="50"/>
        <v>2297.3333333333335</v>
      </c>
      <c r="N542">
        <f t="shared" si="49"/>
        <v>2174.6187375418176</v>
      </c>
      <c r="O542">
        <f t="shared" si="46"/>
        <v>33</v>
      </c>
      <c r="P542" s="6">
        <f t="shared" si="47"/>
        <v>2.3321554770318022E-2</v>
      </c>
      <c r="Q542" s="6">
        <f t="shared" si="48"/>
        <v>0.53683303006488881</v>
      </c>
    </row>
    <row r="543" spans="1:17" x14ac:dyDescent="0.25">
      <c r="A543" s="3">
        <v>542</v>
      </c>
      <c r="B543" s="3" t="s">
        <v>39</v>
      </c>
      <c r="C543" s="3" t="s">
        <v>40</v>
      </c>
      <c r="D543" s="3" t="s">
        <v>102</v>
      </c>
      <c r="E543" s="3">
        <v>2</v>
      </c>
      <c r="F543" s="3">
        <v>2024</v>
      </c>
      <c r="G543" s="9" t="s">
        <v>91</v>
      </c>
      <c r="H543" s="3">
        <v>1442</v>
      </c>
      <c r="I543" s="3">
        <v>1302</v>
      </c>
      <c r="J543" s="3">
        <v>140</v>
      </c>
      <c r="K543" s="3">
        <v>9.6999999999999993</v>
      </c>
      <c r="L543" s="3" t="s">
        <v>78</v>
      </c>
      <c r="M543">
        <f t="shared" si="50"/>
        <v>2079.6666666666665</v>
      </c>
      <c r="N543">
        <f t="shared" si="49"/>
        <v>1946.7331162792723</v>
      </c>
      <c r="O543">
        <f t="shared" si="46"/>
        <v>140</v>
      </c>
      <c r="P543" s="6">
        <f t="shared" si="47"/>
        <v>9.7087378640776698E-2</v>
      </c>
      <c r="Q543" s="6">
        <f t="shared" si="48"/>
        <v>0.35002296551960632</v>
      </c>
    </row>
    <row r="544" spans="1:17" x14ac:dyDescent="0.25">
      <c r="A544" s="2">
        <v>543</v>
      </c>
      <c r="B544" s="2" t="s">
        <v>39</v>
      </c>
      <c r="C544" s="2" t="s">
        <v>40</v>
      </c>
      <c r="D544" s="2" t="s">
        <v>102</v>
      </c>
      <c r="E544" s="2">
        <v>3</v>
      </c>
      <c r="F544" s="2">
        <v>2024</v>
      </c>
      <c r="G544" s="8" t="s">
        <v>92</v>
      </c>
      <c r="H544" s="2">
        <v>1710</v>
      </c>
      <c r="I544" s="2">
        <v>1789</v>
      </c>
      <c r="J544" s="2">
        <v>-79</v>
      </c>
      <c r="K544" s="2">
        <v>4.5999999999999996</v>
      </c>
      <c r="L544" s="2" t="s">
        <v>83</v>
      </c>
      <c r="M544">
        <f t="shared" si="50"/>
        <v>1773</v>
      </c>
      <c r="N544">
        <f t="shared" si="49"/>
        <v>1795.3131813954903</v>
      </c>
      <c r="O544">
        <f t="shared" si="46"/>
        <v>79</v>
      </c>
      <c r="P544" s="6">
        <f t="shared" si="47"/>
        <v>4.6198830409356725E-2</v>
      </c>
      <c r="Q544" s="6">
        <f t="shared" si="48"/>
        <v>4.9890749354087924E-2</v>
      </c>
    </row>
    <row r="545" spans="1:17" x14ac:dyDescent="0.25">
      <c r="A545" s="3">
        <v>544</v>
      </c>
      <c r="B545" s="3" t="s">
        <v>39</v>
      </c>
      <c r="C545" s="3" t="s">
        <v>40</v>
      </c>
      <c r="D545" s="3" t="s">
        <v>102</v>
      </c>
      <c r="E545" s="3">
        <v>4</v>
      </c>
      <c r="F545" s="3">
        <v>2024</v>
      </c>
      <c r="G545" s="9" t="s">
        <v>93</v>
      </c>
      <c r="H545" s="3">
        <v>1692</v>
      </c>
      <c r="I545" s="3">
        <v>1719</v>
      </c>
      <c r="J545" s="3">
        <v>-27</v>
      </c>
      <c r="K545" s="3">
        <v>1.6</v>
      </c>
      <c r="L545" s="3" t="s">
        <v>76</v>
      </c>
      <c r="M545">
        <f t="shared" si="50"/>
        <v>1522.3333333333333</v>
      </c>
      <c r="N545">
        <f t="shared" si="49"/>
        <v>1769.7192269768432</v>
      </c>
      <c r="O545">
        <f t="shared" si="46"/>
        <v>27</v>
      </c>
      <c r="P545" s="6">
        <f t="shared" si="47"/>
        <v>1.5957446808510637E-2</v>
      </c>
      <c r="Q545" s="6">
        <f t="shared" si="48"/>
        <v>4.5933349277094075E-2</v>
      </c>
    </row>
    <row r="546" spans="1:17" x14ac:dyDescent="0.25">
      <c r="A546" s="2">
        <v>545</v>
      </c>
      <c r="B546" s="2" t="s">
        <v>39</v>
      </c>
      <c r="C546" s="2" t="s">
        <v>40</v>
      </c>
      <c r="D546" s="2" t="s">
        <v>102</v>
      </c>
      <c r="E546" s="2">
        <v>5</v>
      </c>
      <c r="F546" s="2">
        <v>2024</v>
      </c>
      <c r="G546" s="8" t="s">
        <v>94</v>
      </c>
      <c r="H546" s="2">
        <v>1790</v>
      </c>
      <c r="I546" s="2">
        <v>1737</v>
      </c>
      <c r="J546" s="2">
        <v>53</v>
      </c>
      <c r="K546" s="2">
        <v>3</v>
      </c>
      <c r="L546" s="2" t="s">
        <v>76</v>
      </c>
      <c r="M546">
        <f t="shared" si="50"/>
        <v>1614.6666666666667</v>
      </c>
      <c r="N546">
        <f t="shared" si="49"/>
        <v>1746.4034588837901</v>
      </c>
      <c r="O546">
        <f t="shared" si="46"/>
        <v>53</v>
      </c>
      <c r="P546" s="6">
        <f t="shared" si="47"/>
        <v>2.9608938547486034E-2</v>
      </c>
      <c r="Q546" s="6">
        <f t="shared" si="48"/>
        <v>2.4355609562128431E-2</v>
      </c>
    </row>
    <row r="547" spans="1:17" x14ac:dyDescent="0.25">
      <c r="A547" s="3">
        <v>546</v>
      </c>
      <c r="B547" s="3" t="s">
        <v>39</v>
      </c>
      <c r="C547" s="3" t="s">
        <v>40</v>
      </c>
      <c r="D547" s="3" t="s">
        <v>102</v>
      </c>
      <c r="E547" s="3">
        <v>6</v>
      </c>
      <c r="F547" s="3">
        <v>2024</v>
      </c>
      <c r="G547" s="9" t="s">
        <v>95</v>
      </c>
      <c r="H547" s="3">
        <v>2211</v>
      </c>
      <c r="I547" s="3">
        <v>2067</v>
      </c>
      <c r="J547" s="3">
        <v>144</v>
      </c>
      <c r="K547" s="3">
        <v>6.5</v>
      </c>
      <c r="L547" s="3" t="s">
        <v>83</v>
      </c>
      <c r="M547">
        <f t="shared" si="50"/>
        <v>1730.6666666666667</v>
      </c>
      <c r="N547">
        <f t="shared" si="49"/>
        <v>1759.4824212186529</v>
      </c>
      <c r="O547">
        <f t="shared" si="46"/>
        <v>144</v>
      </c>
      <c r="P547" s="6">
        <f t="shared" si="47"/>
        <v>6.5128900949796467E-2</v>
      </c>
      <c r="Q547" s="6">
        <f t="shared" si="48"/>
        <v>0.20421419212182138</v>
      </c>
    </row>
    <row r="548" spans="1:17" x14ac:dyDescent="0.25">
      <c r="A548" s="2">
        <v>547</v>
      </c>
      <c r="B548" s="2" t="s">
        <v>39</v>
      </c>
      <c r="C548" s="2" t="s">
        <v>40</v>
      </c>
      <c r="D548" s="2" t="s">
        <v>102</v>
      </c>
      <c r="E548" s="2">
        <v>7</v>
      </c>
      <c r="F548" s="2">
        <v>2024</v>
      </c>
      <c r="G548" s="8" t="s">
        <v>96</v>
      </c>
      <c r="H548" s="2">
        <v>2002</v>
      </c>
      <c r="I548" s="2">
        <v>2080</v>
      </c>
      <c r="J548" s="2">
        <v>-78</v>
      </c>
      <c r="K548" s="2">
        <v>3.9</v>
      </c>
      <c r="L548" s="2" t="s">
        <v>83</v>
      </c>
      <c r="M548">
        <f t="shared" si="50"/>
        <v>1897.6666666666667</v>
      </c>
      <c r="N548">
        <f t="shared" si="49"/>
        <v>1894.9376948530569</v>
      </c>
      <c r="O548">
        <f t="shared" si="46"/>
        <v>78</v>
      </c>
      <c r="P548" s="6">
        <f t="shared" si="47"/>
        <v>3.896103896103896E-2</v>
      </c>
      <c r="Q548" s="6">
        <f t="shared" si="48"/>
        <v>5.3477674898572983E-2</v>
      </c>
    </row>
    <row r="549" spans="1:17" x14ac:dyDescent="0.25">
      <c r="A549" s="3">
        <v>548</v>
      </c>
      <c r="B549" s="3" t="s">
        <v>39</v>
      </c>
      <c r="C549" s="3" t="s">
        <v>40</v>
      </c>
      <c r="D549" s="3" t="s">
        <v>102</v>
      </c>
      <c r="E549" s="3">
        <v>8</v>
      </c>
      <c r="F549" s="3">
        <v>2024</v>
      </c>
      <c r="G549" s="9" t="s">
        <v>97</v>
      </c>
      <c r="H549" s="3">
        <v>1813</v>
      </c>
      <c r="I549" s="3">
        <v>1680</v>
      </c>
      <c r="J549" s="3">
        <v>133</v>
      </c>
      <c r="K549" s="3">
        <v>7.3</v>
      </c>
      <c r="L549" s="3" t="s">
        <v>83</v>
      </c>
      <c r="M549">
        <f t="shared" si="50"/>
        <v>2001</v>
      </c>
      <c r="N549">
        <f t="shared" si="49"/>
        <v>1927.0563863971397</v>
      </c>
      <c r="O549">
        <f t="shared" si="46"/>
        <v>133</v>
      </c>
      <c r="P549" s="6">
        <f t="shared" si="47"/>
        <v>7.3359073359073365E-2</v>
      </c>
      <c r="Q549" s="6">
        <f t="shared" si="48"/>
        <v>6.2910306893072088E-2</v>
      </c>
    </row>
    <row r="550" spans="1:17" x14ac:dyDescent="0.25">
      <c r="A550" s="2">
        <v>549</v>
      </c>
      <c r="B550" s="2" t="s">
        <v>39</v>
      </c>
      <c r="C550" s="2" t="s">
        <v>40</v>
      </c>
      <c r="D550" s="2" t="s">
        <v>102</v>
      </c>
      <c r="E550" s="2">
        <v>9</v>
      </c>
      <c r="F550" s="2">
        <v>2024</v>
      </c>
      <c r="G550" s="8" t="s">
        <v>98</v>
      </c>
      <c r="H550" s="2">
        <v>1993</v>
      </c>
      <c r="I550" s="2">
        <v>1976</v>
      </c>
      <c r="J550" s="2">
        <v>17</v>
      </c>
      <c r="K550" s="2">
        <v>0.9</v>
      </c>
      <c r="L550" s="2" t="s">
        <v>76</v>
      </c>
      <c r="M550">
        <f t="shared" si="50"/>
        <v>2008.6666666666667</v>
      </c>
      <c r="N550">
        <f t="shared" si="49"/>
        <v>1892.8394704779976</v>
      </c>
      <c r="O550">
        <f t="shared" si="46"/>
        <v>17</v>
      </c>
      <c r="P550" s="6">
        <f t="shared" si="47"/>
        <v>8.5298544907175117E-3</v>
      </c>
      <c r="Q550" s="6">
        <f t="shared" si="48"/>
        <v>5.0256161325640959E-2</v>
      </c>
    </row>
    <row r="551" spans="1:17" x14ac:dyDescent="0.25">
      <c r="A551" s="3">
        <v>550</v>
      </c>
      <c r="B551" s="3" t="s">
        <v>39</v>
      </c>
      <c r="C551" s="3" t="s">
        <v>40</v>
      </c>
      <c r="D551" s="3" t="s">
        <v>102</v>
      </c>
      <c r="E551" s="3">
        <v>10</v>
      </c>
      <c r="F551" s="3">
        <v>2024</v>
      </c>
      <c r="G551" s="9" t="s">
        <v>99</v>
      </c>
      <c r="H551" s="3">
        <v>1909</v>
      </c>
      <c r="I551" s="3">
        <v>2020</v>
      </c>
      <c r="J551" s="3">
        <v>-111</v>
      </c>
      <c r="K551" s="3">
        <v>5.8</v>
      </c>
      <c r="L551" s="3" t="s">
        <v>78</v>
      </c>
      <c r="M551">
        <f t="shared" si="50"/>
        <v>1936</v>
      </c>
      <c r="N551">
        <f t="shared" si="49"/>
        <v>1922.8876293345984</v>
      </c>
      <c r="O551">
        <f t="shared" si="46"/>
        <v>111</v>
      </c>
      <c r="P551" s="6">
        <f t="shared" si="47"/>
        <v>5.8145625982189628E-2</v>
      </c>
      <c r="Q551" s="6">
        <f t="shared" si="48"/>
        <v>7.2748189285481331E-3</v>
      </c>
    </row>
    <row r="552" spans="1:17" x14ac:dyDescent="0.25">
      <c r="A552" s="2">
        <v>551</v>
      </c>
      <c r="B552" s="2" t="s">
        <v>39</v>
      </c>
      <c r="C552" s="2" t="s">
        <v>40</v>
      </c>
      <c r="D552" s="2" t="s">
        <v>102</v>
      </c>
      <c r="E552" s="2">
        <v>11</v>
      </c>
      <c r="F552" s="2">
        <v>2024</v>
      </c>
      <c r="G552" s="8" t="s">
        <v>100</v>
      </c>
      <c r="H552" s="2">
        <v>2234</v>
      </c>
      <c r="I552" s="2">
        <v>2149</v>
      </c>
      <c r="J552" s="2">
        <v>85</v>
      </c>
      <c r="K552" s="2">
        <v>3.8</v>
      </c>
      <c r="L552" s="2" t="s">
        <v>76</v>
      </c>
      <c r="M552">
        <f t="shared" si="50"/>
        <v>1905</v>
      </c>
      <c r="N552">
        <f t="shared" si="49"/>
        <v>1918.7213405342186</v>
      </c>
      <c r="O552">
        <f t="shared" si="46"/>
        <v>85</v>
      </c>
      <c r="P552" s="6">
        <f t="shared" si="47"/>
        <v>3.8048343777976723E-2</v>
      </c>
      <c r="Q552" s="6">
        <f t="shared" si="48"/>
        <v>0.14112742142604359</v>
      </c>
    </row>
    <row r="553" spans="1:17" x14ac:dyDescent="0.25">
      <c r="A553" s="3">
        <v>552</v>
      </c>
      <c r="B553" s="3" t="s">
        <v>39</v>
      </c>
      <c r="C553" s="3" t="s">
        <v>40</v>
      </c>
      <c r="D553" s="3" t="s">
        <v>102</v>
      </c>
      <c r="E553" s="3">
        <v>12</v>
      </c>
      <c r="F553" s="3">
        <v>2024</v>
      </c>
      <c r="G553" s="9" t="s">
        <v>101</v>
      </c>
      <c r="H553" s="3">
        <v>2716</v>
      </c>
      <c r="I553" s="3">
        <v>2739</v>
      </c>
      <c r="J553" s="3">
        <v>-23</v>
      </c>
      <c r="K553" s="3">
        <v>0.8</v>
      </c>
      <c r="L553" s="3" t="s">
        <v>76</v>
      </c>
      <c r="M553">
        <f t="shared" si="50"/>
        <v>2045.3333333333333</v>
      </c>
      <c r="N553">
        <f t="shared" si="49"/>
        <v>2013.3049383739531</v>
      </c>
      <c r="O553">
        <f t="shared" si="46"/>
        <v>23</v>
      </c>
      <c r="P553" s="6">
        <f t="shared" si="47"/>
        <v>8.4683357879234162E-3</v>
      </c>
      <c r="Q553" s="6">
        <f t="shared" si="48"/>
        <v>0.25872424949412626</v>
      </c>
    </row>
    <row r="554" spans="1:17" x14ac:dyDescent="0.25">
      <c r="A554" s="2">
        <v>553</v>
      </c>
      <c r="B554" s="2" t="s">
        <v>39</v>
      </c>
      <c r="C554" s="2" t="s">
        <v>40</v>
      </c>
      <c r="D554" s="2" t="s">
        <v>103</v>
      </c>
      <c r="E554" s="2">
        <v>1</v>
      </c>
      <c r="F554" s="2">
        <v>2023</v>
      </c>
      <c r="G554" s="8" t="s">
        <v>75</v>
      </c>
      <c r="H554" s="2">
        <v>1578</v>
      </c>
      <c r="I554" s="2">
        <v>1624</v>
      </c>
      <c r="J554" s="2">
        <v>-46</v>
      </c>
      <c r="K554" s="2">
        <v>2.9</v>
      </c>
      <c r="L554" s="2" t="s">
        <v>76</v>
      </c>
      <c r="M554">
        <f t="shared" si="50"/>
        <v>2286.3333333333335</v>
      </c>
      <c r="N554">
        <f t="shared" si="49"/>
        <v>2224.1134568617672</v>
      </c>
      <c r="O554">
        <f t="shared" si="46"/>
        <v>46</v>
      </c>
      <c r="P554" s="6">
        <f t="shared" si="47"/>
        <v>2.9150823827629912E-2</v>
      </c>
      <c r="Q554" s="6">
        <f t="shared" si="48"/>
        <v>0.40945085986170293</v>
      </c>
    </row>
    <row r="555" spans="1:17" x14ac:dyDescent="0.25">
      <c r="A555" s="3">
        <v>554</v>
      </c>
      <c r="B555" s="3" t="s">
        <v>39</v>
      </c>
      <c r="C555" s="3" t="s">
        <v>40</v>
      </c>
      <c r="D555" s="3" t="s">
        <v>103</v>
      </c>
      <c r="E555" s="3">
        <v>2</v>
      </c>
      <c r="F555" s="3">
        <v>2023</v>
      </c>
      <c r="G555" s="9" t="s">
        <v>77</v>
      </c>
      <c r="H555" s="3">
        <v>1654</v>
      </c>
      <c r="I555" s="3">
        <v>1746</v>
      </c>
      <c r="J555" s="3">
        <v>-92</v>
      </c>
      <c r="K555" s="3">
        <v>5.6</v>
      </c>
      <c r="L555" s="3" t="s">
        <v>83</v>
      </c>
      <c r="M555">
        <f t="shared" si="50"/>
        <v>2176</v>
      </c>
      <c r="N555">
        <f t="shared" si="49"/>
        <v>2030.279419803237</v>
      </c>
      <c r="O555">
        <f t="shared" si="46"/>
        <v>92</v>
      </c>
      <c r="P555" s="6">
        <f t="shared" si="47"/>
        <v>5.5622732769044739E-2</v>
      </c>
      <c r="Q555" s="6">
        <f t="shared" si="48"/>
        <v>0.22749662624137668</v>
      </c>
    </row>
    <row r="556" spans="1:17" x14ac:dyDescent="0.25">
      <c r="A556" s="2">
        <v>555</v>
      </c>
      <c r="B556" s="2" t="s">
        <v>39</v>
      </c>
      <c r="C556" s="2" t="s">
        <v>40</v>
      </c>
      <c r="D556" s="2" t="s">
        <v>103</v>
      </c>
      <c r="E556" s="2">
        <v>3</v>
      </c>
      <c r="F556" s="2">
        <v>2023</v>
      </c>
      <c r="G556" s="8" t="s">
        <v>79</v>
      </c>
      <c r="H556" s="2">
        <v>1905</v>
      </c>
      <c r="I556" s="2">
        <v>1761</v>
      </c>
      <c r="J556" s="2">
        <v>144</v>
      </c>
      <c r="K556" s="2">
        <v>7.6</v>
      </c>
      <c r="L556" s="2" t="s">
        <v>76</v>
      </c>
      <c r="M556">
        <f t="shared" si="50"/>
        <v>1982.6666666666667</v>
      </c>
      <c r="N556">
        <f t="shared" si="49"/>
        <v>1917.395593862266</v>
      </c>
      <c r="O556">
        <f t="shared" si="46"/>
        <v>144</v>
      </c>
      <c r="P556" s="6">
        <f t="shared" si="47"/>
        <v>7.5590551181102361E-2</v>
      </c>
      <c r="Q556" s="6">
        <f t="shared" si="48"/>
        <v>6.5068734185123192E-3</v>
      </c>
    </row>
    <row r="557" spans="1:17" x14ac:dyDescent="0.25">
      <c r="A557" s="3">
        <v>556</v>
      </c>
      <c r="B557" s="3" t="s">
        <v>39</v>
      </c>
      <c r="C557" s="3" t="s">
        <v>40</v>
      </c>
      <c r="D557" s="3" t="s">
        <v>103</v>
      </c>
      <c r="E557" s="3">
        <v>4</v>
      </c>
      <c r="F557" s="3">
        <v>2023</v>
      </c>
      <c r="G557" s="9" t="s">
        <v>80</v>
      </c>
      <c r="H557" s="3">
        <v>2058</v>
      </c>
      <c r="I557" s="3">
        <v>2016</v>
      </c>
      <c r="J557" s="3">
        <v>42</v>
      </c>
      <c r="K557" s="3">
        <v>2</v>
      </c>
      <c r="L557" s="3" t="s">
        <v>76</v>
      </c>
      <c r="M557">
        <f t="shared" si="50"/>
        <v>1712.3333333333333</v>
      </c>
      <c r="N557">
        <f t="shared" si="49"/>
        <v>1913.676915703586</v>
      </c>
      <c r="O557">
        <f t="shared" si="46"/>
        <v>42</v>
      </c>
      <c r="P557" s="6">
        <f t="shared" si="47"/>
        <v>2.0408163265306121E-2</v>
      </c>
      <c r="Q557" s="6">
        <f t="shared" si="48"/>
        <v>7.0127834935089395E-2</v>
      </c>
    </row>
    <row r="558" spans="1:17" x14ac:dyDescent="0.25">
      <c r="A558" s="2">
        <v>557</v>
      </c>
      <c r="B558" s="2" t="s">
        <v>39</v>
      </c>
      <c r="C558" s="2" t="s">
        <v>40</v>
      </c>
      <c r="D558" s="2" t="s">
        <v>103</v>
      </c>
      <c r="E558" s="2">
        <v>5</v>
      </c>
      <c r="F558" s="2">
        <v>2023</v>
      </c>
      <c r="G558" s="8" t="s">
        <v>81</v>
      </c>
      <c r="H558" s="2">
        <v>2402</v>
      </c>
      <c r="I558" s="2">
        <v>2347</v>
      </c>
      <c r="J558" s="2">
        <v>55</v>
      </c>
      <c r="K558" s="2">
        <v>2.2999999999999998</v>
      </c>
      <c r="L558" s="2" t="s">
        <v>78</v>
      </c>
      <c r="M558">
        <f t="shared" si="50"/>
        <v>1872.3333333333333</v>
      </c>
      <c r="N558">
        <f t="shared" si="49"/>
        <v>1956.9738409925103</v>
      </c>
      <c r="O558">
        <f t="shared" si="46"/>
        <v>55</v>
      </c>
      <c r="P558" s="6">
        <f t="shared" si="47"/>
        <v>2.2897585345545379E-2</v>
      </c>
      <c r="Q558" s="6">
        <f t="shared" si="48"/>
        <v>0.18527317194316806</v>
      </c>
    </row>
    <row r="559" spans="1:17" x14ac:dyDescent="0.25">
      <c r="A559" s="3">
        <v>558</v>
      </c>
      <c r="B559" s="3" t="s">
        <v>39</v>
      </c>
      <c r="C559" s="3" t="s">
        <v>40</v>
      </c>
      <c r="D559" s="3" t="s">
        <v>103</v>
      </c>
      <c r="E559" s="3">
        <v>6</v>
      </c>
      <c r="F559" s="3">
        <v>2023</v>
      </c>
      <c r="G559" s="9" t="s">
        <v>82</v>
      </c>
      <c r="H559" s="3">
        <v>2296</v>
      </c>
      <c r="I559" s="3">
        <v>2294</v>
      </c>
      <c r="J559" s="3">
        <v>2</v>
      </c>
      <c r="K559" s="3">
        <v>0.1</v>
      </c>
      <c r="L559" s="3" t="s">
        <v>83</v>
      </c>
      <c r="M559">
        <f t="shared" si="50"/>
        <v>2121.6666666666665</v>
      </c>
      <c r="N559">
        <f t="shared" si="49"/>
        <v>2090.4816886947569</v>
      </c>
      <c r="O559">
        <f t="shared" si="46"/>
        <v>2</v>
      </c>
      <c r="P559" s="6">
        <f t="shared" si="47"/>
        <v>8.710801393728223E-4</v>
      </c>
      <c r="Q559" s="6">
        <f t="shared" si="48"/>
        <v>8.95114596277191E-2</v>
      </c>
    </row>
    <row r="560" spans="1:17" x14ac:dyDescent="0.25">
      <c r="A560" s="2">
        <v>559</v>
      </c>
      <c r="B560" s="2" t="s">
        <v>39</v>
      </c>
      <c r="C560" s="2" t="s">
        <v>40</v>
      </c>
      <c r="D560" s="2" t="s">
        <v>103</v>
      </c>
      <c r="E560" s="2">
        <v>7</v>
      </c>
      <c r="F560" s="2">
        <v>2023</v>
      </c>
      <c r="G560" s="8" t="s">
        <v>84</v>
      </c>
      <c r="H560" s="2">
        <v>2130</v>
      </c>
      <c r="I560" s="2">
        <v>1952</v>
      </c>
      <c r="J560" s="2">
        <v>178</v>
      </c>
      <c r="K560" s="2">
        <v>8.4</v>
      </c>
      <c r="L560" s="2" t="s">
        <v>76</v>
      </c>
      <c r="M560">
        <f t="shared" si="50"/>
        <v>2252</v>
      </c>
      <c r="N560">
        <f t="shared" si="49"/>
        <v>2152.1371820863296</v>
      </c>
      <c r="O560">
        <f t="shared" si="46"/>
        <v>178</v>
      </c>
      <c r="P560" s="6">
        <f t="shared" si="47"/>
        <v>8.3568075117370896E-2</v>
      </c>
      <c r="Q560" s="6">
        <f t="shared" si="48"/>
        <v>1.0393043233018606E-2</v>
      </c>
    </row>
    <row r="561" spans="1:17" x14ac:dyDescent="0.25">
      <c r="A561" s="3">
        <v>560</v>
      </c>
      <c r="B561" s="3" t="s">
        <v>39</v>
      </c>
      <c r="C561" s="3" t="s">
        <v>40</v>
      </c>
      <c r="D561" s="3" t="s">
        <v>103</v>
      </c>
      <c r="E561" s="3">
        <v>8</v>
      </c>
      <c r="F561" s="3">
        <v>2023</v>
      </c>
      <c r="G561" s="9" t="s">
        <v>85</v>
      </c>
      <c r="H561" s="3">
        <v>1972</v>
      </c>
      <c r="I561" s="3">
        <v>2012</v>
      </c>
      <c r="J561" s="3">
        <v>-40</v>
      </c>
      <c r="K561" s="3">
        <v>2</v>
      </c>
      <c r="L561" s="3" t="s">
        <v>78</v>
      </c>
      <c r="M561">
        <f t="shared" si="50"/>
        <v>2276</v>
      </c>
      <c r="N561">
        <f t="shared" si="49"/>
        <v>2145.4960274604309</v>
      </c>
      <c r="O561">
        <f t="shared" si="46"/>
        <v>40</v>
      </c>
      <c r="P561" s="6">
        <f t="shared" si="47"/>
        <v>2.0283975659229209E-2</v>
      </c>
      <c r="Q561" s="6">
        <f t="shared" si="48"/>
        <v>8.7979729949508576E-2</v>
      </c>
    </row>
    <row r="562" spans="1:17" x14ac:dyDescent="0.25">
      <c r="A562" s="2">
        <v>561</v>
      </c>
      <c r="B562" s="2" t="s">
        <v>39</v>
      </c>
      <c r="C562" s="2" t="s">
        <v>40</v>
      </c>
      <c r="D562" s="2" t="s">
        <v>103</v>
      </c>
      <c r="E562" s="2">
        <v>9</v>
      </c>
      <c r="F562" s="2">
        <v>2023</v>
      </c>
      <c r="G562" s="8" t="s">
        <v>86</v>
      </c>
      <c r="H562" s="2">
        <v>2112</v>
      </c>
      <c r="I562" s="2">
        <v>2036</v>
      </c>
      <c r="J562" s="2">
        <v>76</v>
      </c>
      <c r="K562" s="2">
        <v>3.6</v>
      </c>
      <c r="L562" s="2" t="s">
        <v>78</v>
      </c>
      <c r="M562">
        <f t="shared" si="50"/>
        <v>2132.6666666666665</v>
      </c>
      <c r="N562">
        <f t="shared" si="49"/>
        <v>2093.4472192223016</v>
      </c>
      <c r="O562">
        <f t="shared" si="46"/>
        <v>76</v>
      </c>
      <c r="P562" s="6">
        <f t="shared" si="47"/>
        <v>3.5984848484848488E-2</v>
      </c>
      <c r="Q562" s="6">
        <f t="shared" si="48"/>
        <v>8.7844605955011579E-3</v>
      </c>
    </row>
    <row r="563" spans="1:17" x14ac:dyDescent="0.25">
      <c r="A563" s="3">
        <v>562</v>
      </c>
      <c r="B563" s="3" t="s">
        <v>39</v>
      </c>
      <c r="C563" s="3" t="s">
        <v>40</v>
      </c>
      <c r="D563" s="3" t="s">
        <v>103</v>
      </c>
      <c r="E563" s="3">
        <v>10</v>
      </c>
      <c r="F563" s="3">
        <v>2023</v>
      </c>
      <c r="G563" s="9" t="s">
        <v>87</v>
      </c>
      <c r="H563" s="3">
        <v>2204</v>
      </c>
      <c r="I563" s="3">
        <v>2113</v>
      </c>
      <c r="J563" s="3">
        <v>91</v>
      </c>
      <c r="K563" s="3">
        <v>4.0999999999999996</v>
      </c>
      <c r="L563" s="3" t="s">
        <v>76</v>
      </c>
      <c r="M563">
        <f t="shared" si="50"/>
        <v>2071.3333333333335</v>
      </c>
      <c r="N563">
        <f t="shared" si="49"/>
        <v>2099.013053455611</v>
      </c>
      <c r="O563">
        <f t="shared" si="46"/>
        <v>91</v>
      </c>
      <c r="P563" s="6">
        <f t="shared" si="47"/>
        <v>4.1288566243194193E-2</v>
      </c>
      <c r="Q563" s="6">
        <f t="shared" si="48"/>
        <v>4.7634730737018585E-2</v>
      </c>
    </row>
    <row r="564" spans="1:17" x14ac:dyDescent="0.25">
      <c r="A564" s="2">
        <v>563</v>
      </c>
      <c r="B564" s="2" t="s">
        <v>39</v>
      </c>
      <c r="C564" s="2" t="s">
        <v>40</v>
      </c>
      <c r="D564" s="2" t="s">
        <v>103</v>
      </c>
      <c r="E564" s="2">
        <v>11</v>
      </c>
      <c r="F564" s="2">
        <v>2023</v>
      </c>
      <c r="G564" s="8" t="s">
        <v>88</v>
      </c>
      <c r="H564" s="2">
        <v>2676</v>
      </c>
      <c r="I564" s="2">
        <v>2636</v>
      </c>
      <c r="J564" s="2">
        <v>40</v>
      </c>
      <c r="K564" s="2">
        <v>1.5</v>
      </c>
      <c r="L564" s="2" t="s">
        <v>83</v>
      </c>
      <c r="M564">
        <f t="shared" si="50"/>
        <v>2096</v>
      </c>
      <c r="N564">
        <f t="shared" si="49"/>
        <v>2130.5091374189274</v>
      </c>
      <c r="O564">
        <f t="shared" si="46"/>
        <v>40</v>
      </c>
      <c r="P564" s="6">
        <f t="shared" si="47"/>
        <v>1.4947683109118086E-2</v>
      </c>
      <c r="Q564" s="6">
        <f t="shared" si="48"/>
        <v>0.20384561381953387</v>
      </c>
    </row>
    <row r="565" spans="1:17" x14ac:dyDescent="0.25">
      <c r="A565" s="3">
        <v>564</v>
      </c>
      <c r="B565" s="3" t="s">
        <v>39</v>
      </c>
      <c r="C565" s="3" t="s">
        <v>40</v>
      </c>
      <c r="D565" s="3" t="s">
        <v>103</v>
      </c>
      <c r="E565" s="3">
        <v>12</v>
      </c>
      <c r="F565" s="3">
        <v>2023</v>
      </c>
      <c r="G565" s="9" t="s">
        <v>89</v>
      </c>
      <c r="H565" s="3">
        <v>2680</v>
      </c>
      <c r="I565" s="3">
        <v>2651</v>
      </c>
      <c r="J565" s="3">
        <v>29</v>
      </c>
      <c r="K565" s="3">
        <v>1.1000000000000001</v>
      </c>
      <c r="L565" s="3" t="s">
        <v>83</v>
      </c>
      <c r="M565">
        <f t="shared" si="50"/>
        <v>2330.6666666666665</v>
      </c>
      <c r="N565">
        <f t="shared" si="49"/>
        <v>2294.1563961932488</v>
      </c>
      <c r="O565">
        <f t="shared" si="46"/>
        <v>29</v>
      </c>
      <c r="P565" s="6">
        <f t="shared" si="47"/>
        <v>1.082089552238806E-2</v>
      </c>
      <c r="Q565" s="6">
        <f t="shared" si="48"/>
        <v>0.14397149395774297</v>
      </c>
    </row>
    <row r="566" spans="1:17" x14ac:dyDescent="0.25">
      <c r="A566" s="2">
        <v>565</v>
      </c>
      <c r="B566" s="2" t="s">
        <v>39</v>
      </c>
      <c r="C566" s="2" t="s">
        <v>40</v>
      </c>
      <c r="D566" s="2" t="s">
        <v>103</v>
      </c>
      <c r="E566" s="2">
        <v>1</v>
      </c>
      <c r="F566" s="2">
        <v>2024</v>
      </c>
      <c r="G566" s="8" t="s">
        <v>90</v>
      </c>
      <c r="H566" s="2">
        <v>1934</v>
      </c>
      <c r="I566" s="2">
        <v>1876</v>
      </c>
      <c r="J566" s="2">
        <v>58</v>
      </c>
      <c r="K566" s="2">
        <v>3</v>
      </c>
      <c r="L566" s="2" t="s">
        <v>76</v>
      </c>
      <c r="M566">
        <f t="shared" si="50"/>
        <v>2520</v>
      </c>
      <c r="N566">
        <f t="shared" si="49"/>
        <v>2409.909477335274</v>
      </c>
      <c r="O566">
        <f t="shared" si="46"/>
        <v>58</v>
      </c>
      <c r="P566" s="6">
        <f t="shared" si="47"/>
        <v>2.9989658738366079E-2</v>
      </c>
      <c r="Q566" s="6">
        <f t="shared" si="48"/>
        <v>0.24607522095929368</v>
      </c>
    </row>
    <row r="567" spans="1:17" x14ac:dyDescent="0.25">
      <c r="A567" s="3">
        <v>566</v>
      </c>
      <c r="B567" s="3" t="s">
        <v>39</v>
      </c>
      <c r="C567" s="3" t="s">
        <v>40</v>
      </c>
      <c r="D567" s="3" t="s">
        <v>103</v>
      </c>
      <c r="E567" s="3">
        <v>2</v>
      </c>
      <c r="F567" s="3">
        <v>2024</v>
      </c>
      <c r="G567" s="9" t="s">
        <v>91</v>
      </c>
      <c r="H567" s="3">
        <v>1621</v>
      </c>
      <c r="I567" s="3">
        <v>1776</v>
      </c>
      <c r="J567" s="3">
        <v>-155</v>
      </c>
      <c r="K567" s="3">
        <v>9.6</v>
      </c>
      <c r="L567" s="3" t="s">
        <v>78</v>
      </c>
      <c r="M567">
        <f t="shared" si="50"/>
        <v>2430</v>
      </c>
      <c r="N567">
        <f t="shared" si="49"/>
        <v>2267.1366341346916</v>
      </c>
      <c r="O567">
        <f t="shared" si="46"/>
        <v>155</v>
      </c>
      <c r="P567" s="6">
        <f t="shared" si="47"/>
        <v>9.5619987661937078E-2</v>
      </c>
      <c r="Q567" s="6">
        <f t="shared" si="48"/>
        <v>0.39860372247667586</v>
      </c>
    </row>
    <row r="568" spans="1:17" x14ac:dyDescent="0.25">
      <c r="A568" s="2">
        <v>567</v>
      </c>
      <c r="B568" s="2" t="s">
        <v>39</v>
      </c>
      <c r="C568" s="2" t="s">
        <v>40</v>
      </c>
      <c r="D568" s="2" t="s">
        <v>103</v>
      </c>
      <c r="E568" s="2">
        <v>3</v>
      </c>
      <c r="F568" s="2">
        <v>2024</v>
      </c>
      <c r="G568" s="8" t="s">
        <v>92</v>
      </c>
      <c r="H568" s="2">
        <v>1782</v>
      </c>
      <c r="I568" s="2">
        <v>1831</v>
      </c>
      <c r="J568" s="2">
        <v>-49</v>
      </c>
      <c r="K568" s="2">
        <v>2.7</v>
      </c>
      <c r="L568" s="2" t="s">
        <v>76</v>
      </c>
      <c r="M568">
        <f t="shared" si="50"/>
        <v>2078.3333333333335</v>
      </c>
      <c r="N568">
        <f t="shared" si="49"/>
        <v>2073.2956438942838</v>
      </c>
      <c r="O568">
        <f t="shared" si="46"/>
        <v>49</v>
      </c>
      <c r="P568" s="6">
        <f t="shared" si="47"/>
        <v>2.749719416386083E-2</v>
      </c>
      <c r="Q568" s="6">
        <f t="shared" si="48"/>
        <v>0.16346556896424455</v>
      </c>
    </row>
    <row r="569" spans="1:17" x14ac:dyDescent="0.25">
      <c r="A569" s="3">
        <v>568</v>
      </c>
      <c r="B569" s="3" t="s">
        <v>39</v>
      </c>
      <c r="C569" s="3" t="s">
        <v>40</v>
      </c>
      <c r="D569" s="3" t="s">
        <v>103</v>
      </c>
      <c r="E569" s="3">
        <v>4</v>
      </c>
      <c r="F569" s="3">
        <v>2024</v>
      </c>
      <c r="G569" s="9" t="s">
        <v>93</v>
      </c>
      <c r="H569" s="3">
        <v>2096</v>
      </c>
      <c r="I569" s="3">
        <v>2200</v>
      </c>
      <c r="J569" s="3">
        <v>-104</v>
      </c>
      <c r="K569" s="3">
        <v>5</v>
      </c>
      <c r="L569" s="3" t="s">
        <v>78</v>
      </c>
      <c r="M569">
        <f t="shared" si="50"/>
        <v>1779</v>
      </c>
      <c r="N569">
        <f t="shared" si="49"/>
        <v>1985.9069507259987</v>
      </c>
      <c r="O569">
        <f t="shared" si="46"/>
        <v>104</v>
      </c>
      <c r="P569" s="6">
        <f t="shared" si="47"/>
        <v>4.9618320610687022E-2</v>
      </c>
      <c r="Q569" s="6">
        <f t="shared" si="48"/>
        <v>5.2525309768130371E-2</v>
      </c>
    </row>
    <row r="570" spans="1:17" x14ac:dyDescent="0.25">
      <c r="A570" s="2">
        <v>569</v>
      </c>
      <c r="B570" s="2" t="s">
        <v>39</v>
      </c>
      <c r="C570" s="2" t="s">
        <v>40</v>
      </c>
      <c r="D570" s="2" t="s">
        <v>103</v>
      </c>
      <c r="E570" s="2">
        <v>5</v>
      </c>
      <c r="F570" s="2">
        <v>2024</v>
      </c>
      <c r="G570" s="8" t="s">
        <v>94</v>
      </c>
      <c r="H570" s="2">
        <v>2432</v>
      </c>
      <c r="I570" s="2">
        <v>2258</v>
      </c>
      <c r="J570" s="2">
        <v>174</v>
      </c>
      <c r="K570" s="2">
        <v>7.2</v>
      </c>
      <c r="L570" s="2" t="s">
        <v>83</v>
      </c>
      <c r="M570">
        <f t="shared" si="50"/>
        <v>1833</v>
      </c>
      <c r="N570">
        <f t="shared" si="49"/>
        <v>2018.934865508199</v>
      </c>
      <c r="O570">
        <f t="shared" si="46"/>
        <v>174</v>
      </c>
      <c r="P570" s="6">
        <f t="shared" si="47"/>
        <v>7.1546052631578941E-2</v>
      </c>
      <c r="Q570" s="6">
        <f t="shared" si="48"/>
        <v>0.16984586122195766</v>
      </c>
    </row>
    <row r="571" spans="1:17" x14ac:dyDescent="0.25">
      <c r="A571" s="3">
        <v>570</v>
      </c>
      <c r="B571" s="3" t="s">
        <v>39</v>
      </c>
      <c r="C571" s="3" t="s">
        <v>40</v>
      </c>
      <c r="D571" s="3" t="s">
        <v>103</v>
      </c>
      <c r="E571" s="3">
        <v>6</v>
      </c>
      <c r="F571" s="3">
        <v>2024</v>
      </c>
      <c r="G571" s="9" t="s">
        <v>95</v>
      </c>
      <c r="H571" s="3">
        <v>2397</v>
      </c>
      <c r="I571" s="3">
        <v>2367</v>
      </c>
      <c r="J571" s="3">
        <v>30</v>
      </c>
      <c r="K571" s="3">
        <v>1.3</v>
      </c>
      <c r="L571" s="3" t="s">
        <v>78</v>
      </c>
      <c r="M571">
        <f t="shared" si="50"/>
        <v>2103.3333333333335</v>
      </c>
      <c r="N571">
        <f t="shared" si="49"/>
        <v>2142.8544058557391</v>
      </c>
      <c r="O571">
        <f t="shared" si="46"/>
        <v>30</v>
      </c>
      <c r="P571" s="6">
        <f t="shared" si="47"/>
        <v>1.2515644555694618E-2</v>
      </c>
      <c r="Q571" s="6">
        <f t="shared" si="48"/>
        <v>0.10602653072351312</v>
      </c>
    </row>
    <row r="572" spans="1:17" x14ac:dyDescent="0.25">
      <c r="A572" s="2">
        <v>571</v>
      </c>
      <c r="B572" s="2" t="s">
        <v>39</v>
      </c>
      <c r="C572" s="2" t="s">
        <v>40</v>
      </c>
      <c r="D572" s="2" t="s">
        <v>103</v>
      </c>
      <c r="E572" s="2">
        <v>7</v>
      </c>
      <c r="F572" s="2">
        <v>2024</v>
      </c>
      <c r="G572" s="8" t="s">
        <v>96</v>
      </c>
      <c r="H572" s="2">
        <v>2022</v>
      </c>
      <c r="I572" s="2">
        <v>2134</v>
      </c>
      <c r="J572" s="2">
        <v>-112</v>
      </c>
      <c r="K572" s="2">
        <v>5.5</v>
      </c>
      <c r="L572" s="2" t="s">
        <v>76</v>
      </c>
      <c r="M572">
        <f t="shared" si="50"/>
        <v>2308.3333333333335</v>
      </c>
      <c r="N572">
        <f t="shared" si="49"/>
        <v>2219.0980840990173</v>
      </c>
      <c r="O572">
        <f t="shared" si="46"/>
        <v>112</v>
      </c>
      <c r="P572" s="6">
        <f t="shared" si="47"/>
        <v>5.5390702274975272E-2</v>
      </c>
      <c r="Q572" s="6">
        <f t="shared" si="48"/>
        <v>9.7476797279434882E-2</v>
      </c>
    </row>
    <row r="573" spans="1:17" x14ac:dyDescent="0.25">
      <c r="A573" s="3">
        <v>572</v>
      </c>
      <c r="B573" s="3" t="s">
        <v>39</v>
      </c>
      <c r="C573" s="3" t="s">
        <v>40</v>
      </c>
      <c r="D573" s="3" t="s">
        <v>103</v>
      </c>
      <c r="E573" s="3">
        <v>8</v>
      </c>
      <c r="F573" s="3">
        <v>2024</v>
      </c>
      <c r="G573" s="9" t="s">
        <v>97</v>
      </c>
      <c r="H573" s="3">
        <v>2121</v>
      </c>
      <c r="I573" s="3">
        <v>2311</v>
      </c>
      <c r="J573" s="3">
        <v>-190</v>
      </c>
      <c r="K573" s="3">
        <v>9</v>
      </c>
      <c r="L573" s="3" t="s">
        <v>78</v>
      </c>
      <c r="M573">
        <f t="shared" si="50"/>
        <v>2283.6666666666665</v>
      </c>
      <c r="N573">
        <f t="shared" si="49"/>
        <v>2159.9686588693121</v>
      </c>
      <c r="O573">
        <f t="shared" si="46"/>
        <v>190</v>
      </c>
      <c r="P573" s="6">
        <f t="shared" si="47"/>
        <v>8.9580386610089574E-2</v>
      </c>
      <c r="Q573" s="6">
        <f t="shared" si="48"/>
        <v>1.8372776458893018E-2</v>
      </c>
    </row>
    <row r="574" spans="1:17" x14ac:dyDescent="0.25">
      <c r="A574" s="2">
        <v>573</v>
      </c>
      <c r="B574" s="2" t="s">
        <v>39</v>
      </c>
      <c r="C574" s="2" t="s">
        <v>40</v>
      </c>
      <c r="D574" s="2" t="s">
        <v>103</v>
      </c>
      <c r="E574" s="2">
        <v>9</v>
      </c>
      <c r="F574" s="2">
        <v>2024</v>
      </c>
      <c r="G574" s="8" t="s">
        <v>98</v>
      </c>
      <c r="H574" s="2">
        <v>2142</v>
      </c>
      <c r="I574" s="2">
        <v>2218</v>
      </c>
      <c r="J574" s="2">
        <v>-76</v>
      </c>
      <c r="K574" s="2">
        <v>3.5</v>
      </c>
      <c r="L574" s="2" t="s">
        <v>76</v>
      </c>
      <c r="M574">
        <f t="shared" si="50"/>
        <v>2180</v>
      </c>
      <c r="N574">
        <f t="shared" si="49"/>
        <v>2148.278061208518</v>
      </c>
      <c r="O574">
        <f t="shared" si="46"/>
        <v>76</v>
      </c>
      <c r="P574" s="6">
        <f t="shared" si="47"/>
        <v>3.5480859010270774E-2</v>
      </c>
      <c r="Q574" s="6">
        <f t="shared" si="48"/>
        <v>2.9309342710168119E-3</v>
      </c>
    </row>
    <row r="575" spans="1:17" x14ac:dyDescent="0.25">
      <c r="A575" s="3">
        <v>574</v>
      </c>
      <c r="B575" s="3" t="s">
        <v>39</v>
      </c>
      <c r="C575" s="3" t="s">
        <v>40</v>
      </c>
      <c r="D575" s="3" t="s">
        <v>103</v>
      </c>
      <c r="E575" s="3">
        <v>10</v>
      </c>
      <c r="F575" s="3">
        <v>2024</v>
      </c>
      <c r="G575" s="9" t="s">
        <v>99</v>
      </c>
      <c r="H575" s="3">
        <v>2228</v>
      </c>
      <c r="I575" s="3">
        <v>2345</v>
      </c>
      <c r="J575" s="3">
        <v>-117</v>
      </c>
      <c r="K575" s="3">
        <v>5.3</v>
      </c>
      <c r="L575" s="3" t="s">
        <v>83</v>
      </c>
      <c r="M575">
        <f t="shared" si="50"/>
        <v>2095</v>
      </c>
      <c r="N575">
        <f t="shared" si="49"/>
        <v>2146.3946428459626</v>
      </c>
      <c r="O575">
        <f t="shared" si="46"/>
        <v>117</v>
      </c>
      <c r="P575" s="6">
        <f t="shared" si="47"/>
        <v>5.2513464991023343E-2</v>
      </c>
      <c r="Q575" s="6">
        <f t="shared" si="48"/>
        <v>3.6627180051183747E-2</v>
      </c>
    </row>
    <row r="576" spans="1:17" x14ac:dyDescent="0.25">
      <c r="A576" s="2">
        <v>575</v>
      </c>
      <c r="B576" s="2" t="s">
        <v>39</v>
      </c>
      <c r="C576" s="2" t="s">
        <v>40</v>
      </c>
      <c r="D576" s="2" t="s">
        <v>103</v>
      </c>
      <c r="E576" s="2">
        <v>11</v>
      </c>
      <c r="F576" s="2">
        <v>2024</v>
      </c>
      <c r="G576" s="8" t="s">
        <v>100</v>
      </c>
      <c r="H576" s="2">
        <v>2385</v>
      </c>
      <c r="I576" s="2">
        <v>2321</v>
      </c>
      <c r="J576" s="2">
        <v>64</v>
      </c>
      <c r="K576" s="2">
        <v>2.7</v>
      </c>
      <c r="L576" s="2" t="s">
        <v>76</v>
      </c>
      <c r="M576">
        <f t="shared" si="50"/>
        <v>2163.6666666666665</v>
      </c>
      <c r="N576">
        <f t="shared" si="49"/>
        <v>2170.8762499921736</v>
      </c>
      <c r="O576">
        <f t="shared" si="46"/>
        <v>64</v>
      </c>
      <c r="P576" s="6">
        <f t="shared" si="47"/>
        <v>2.6834381551362682E-2</v>
      </c>
      <c r="Q576" s="6">
        <f t="shared" si="48"/>
        <v>8.9779350108103312E-2</v>
      </c>
    </row>
    <row r="577" spans="1:17" x14ac:dyDescent="0.25">
      <c r="A577" s="3">
        <v>576</v>
      </c>
      <c r="B577" s="3" t="s">
        <v>39</v>
      </c>
      <c r="C577" s="3" t="s">
        <v>40</v>
      </c>
      <c r="D577" s="3" t="s">
        <v>103</v>
      </c>
      <c r="E577" s="3">
        <v>12</v>
      </c>
      <c r="F577" s="3">
        <v>2024</v>
      </c>
      <c r="G577" s="9" t="s">
        <v>101</v>
      </c>
      <c r="H577" s="3">
        <v>2814</v>
      </c>
      <c r="I577" s="3">
        <v>2673</v>
      </c>
      <c r="J577" s="3">
        <v>141</v>
      </c>
      <c r="K577" s="3">
        <v>5</v>
      </c>
      <c r="L577" s="3" t="s">
        <v>78</v>
      </c>
      <c r="M577">
        <f t="shared" si="50"/>
        <v>2251.6666666666665</v>
      </c>
      <c r="N577">
        <f t="shared" si="49"/>
        <v>2235.1133749945211</v>
      </c>
      <c r="O577">
        <f t="shared" si="46"/>
        <v>141</v>
      </c>
      <c r="P577" s="6">
        <f t="shared" si="47"/>
        <v>5.0106609808102345E-2</v>
      </c>
      <c r="Q577" s="6">
        <f t="shared" si="48"/>
        <v>0.20571664001616166</v>
      </c>
    </row>
    <row r="578" spans="1:17" x14ac:dyDescent="0.25">
      <c r="A578" s="2">
        <v>577</v>
      </c>
      <c r="B578" s="2" t="s">
        <v>41</v>
      </c>
      <c r="C578" s="2" t="s">
        <v>42</v>
      </c>
      <c r="D578" s="2" t="s">
        <v>74</v>
      </c>
      <c r="E578" s="2">
        <v>1</v>
      </c>
      <c r="F578" s="2">
        <v>2023</v>
      </c>
      <c r="G578" s="8" t="s">
        <v>75</v>
      </c>
      <c r="H578" s="2">
        <v>2109</v>
      </c>
      <c r="I578" s="2">
        <v>1976</v>
      </c>
      <c r="J578" s="2">
        <v>133</v>
      </c>
      <c r="K578" s="2">
        <v>6.3</v>
      </c>
      <c r="L578" s="2" t="s">
        <v>83</v>
      </c>
      <c r="M578">
        <f t="shared" si="50"/>
        <v>2475.6666666666665</v>
      </c>
      <c r="N578">
        <f t="shared" si="49"/>
        <v>2408.7793624961646</v>
      </c>
      <c r="O578">
        <f t="shared" si="46"/>
        <v>133</v>
      </c>
      <c r="P578" s="6">
        <f t="shared" si="47"/>
        <v>6.3063063063063057E-2</v>
      </c>
      <c r="Q578" s="6">
        <f t="shared" si="48"/>
        <v>0.14214289354962759</v>
      </c>
    </row>
    <row r="579" spans="1:17" x14ac:dyDescent="0.25">
      <c r="A579" s="3">
        <v>578</v>
      </c>
      <c r="B579" s="3" t="s">
        <v>41</v>
      </c>
      <c r="C579" s="3" t="s">
        <v>42</v>
      </c>
      <c r="D579" s="3" t="s">
        <v>74</v>
      </c>
      <c r="E579" s="3">
        <v>2</v>
      </c>
      <c r="F579" s="3">
        <v>2023</v>
      </c>
      <c r="G579" s="9" t="s">
        <v>77</v>
      </c>
      <c r="H579" s="3">
        <v>2233</v>
      </c>
      <c r="I579" s="3">
        <v>2260</v>
      </c>
      <c r="J579" s="3">
        <v>-27</v>
      </c>
      <c r="K579" s="3">
        <v>1.2</v>
      </c>
      <c r="L579" s="3" t="s">
        <v>76</v>
      </c>
      <c r="M579">
        <f t="shared" si="50"/>
        <v>2436</v>
      </c>
      <c r="N579">
        <f t="shared" si="49"/>
        <v>2318.8455537473151</v>
      </c>
      <c r="O579">
        <f t="shared" ref="O579:O642" si="51">ABS(H579-I579)</f>
        <v>27</v>
      </c>
      <c r="P579" s="6">
        <f t="shared" ref="P579:P642" si="52">ABS(O579)/H579</f>
        <v>1.2091356918943126E-2</v>
      </c>
      <c r="Q579" s="6">
        <f t="shared" ref="Q579:Q642" si="53">ABS((H579-N579))/H579</f>
        <v>3.8444045565300081E-2</v>
      </c>
    </row>
    <row r="580" spans="1:17" x14ac:dyDescent="0.25">
      <c r="A580" s="2">
        <v>579</v>
      </c>
      <c r="B580" s="2" t="s">
        <v>41</v>
      </c>
      <c r="C580" s="2" t="s">
        <v>42</v>
      </c>
      <c r="D580" s="2" t="s">
        <v>74</v>
      </c>
      <c r="E580" s="2">
        <v>3</v>
      </c>
      <c r="F580" s="2">
        <v>2023</v>
      </c>
      <c r="G580" s="8" t="s">
        <v>79</v>
      </c>
      <c r="H580" s="2">
        <v>2835</v>
      </c>
      <c r="I580" s="2">
        <v>2950</v>
      </c>
      <c r="J580" s="2">
        <v>-115</v>
      </c>
      <c r="K580" s="2">
        <v>4.0999999999999996</v>
      </c>
      <c r="L580" s="2" t="s">
        <v>78</v>
      </c>
      <c r="M580">
        <f t="shared" si="50"/>
        <v>2385.3333333333335</v>
      </c>
      <c r="N580">
        <f t="shared" ref="N580:N643" si="54">0.3*H579+(0.7*N579)</f>
        <v>2293.0918876231203</v>
      </c>
      <c r="O580">
        <f t="shared" si="51"/>
        <v>115</v>
      </c>
      <c r="P580" s="6">
        <f t="shared" si="52"/>
        <v>4.0564373897707229E-2</v>
      </c>
      <c r="Q580" s="6">
        <f t="shared" si="53"/>
        <v>0.19114924598831734</v>
      </c>
    </row>
    <row r="581" spans="1:17" x14ac:dyDescent="0.25">
      <c r="A581" s="3">
        <v>580</v>
      </c>
      <c r="B581" s="3" t="s">
        <v>41</v>
      </c>
      <c r="C581" s="3" t="s">
        <v>42</v>
      </c>
      <c r="D581" s="3" t="s">
        <v>74</v>
      </c>
      <c r="E581" s="3">
        <v>4</v>
      </c>
      <c r="F581" s="3">
        <v>2023</v>
      </c>
      <c r="G581" s="9" t="s">
        <v>80</v>
      </c>
      <c r="H581" s="3">
        <v>3133</v>
      </c>
      <c r="I581" s="3">
        <v>2998</v>
      </c>
      <c r="J581" s="3">
        <v>135</v>
      </c>
      <c r="K581" s="3">
        <v>4.3</v>
      </c>
      <c r="L581" s="3" t="s">
        <v>76</v>
      </c>
      <c r="M581">
        <f t="shared" si="50"/>
        <v>2392.3333333333335</v>
      </c>
      <c r="N581">
        <f t="shared" si="54"/>
        <v>2455.664321336184</v>
      </c>
      <c r="O581">
        <f t="shared" si="51"/>
        <v>135</v>
      </c>
      <c r="P581" s="6">
        <f t="shared" si="52"/>
        <v>4.3089690392594956E-2</v>
      </c>
      <c r="Q581" s="6">
        <f t="shared" si="53"/>
        <v>0.21619396063320012</v>
      </c>
    </row>
    <row r="582" spans="1:17" x14ac:dyDescent="0.25">
      <c r="A582" s="2">
        <v>581</v>
      </c>
      <c r="B582" s="2" t="s">
        <v>41</v>
      </c>
      <c r="C582" s="2" t="s">
        <v>42</v>
      </c>
      <c r="D582" s="2" t="s">
        <v>74</v>
      </c>
      <c r="E582" s="2">
        <v>5</v>
      </c>
      <c r="F582" s="2">
        <v>2023</v>
      </c>
      <c r="G582" s="8" t="s">
        <v>81</v>
      </c>
      <c r="H582" s="2">
        <v>2728</v>
      </c>
      <c r="I582" s="2">
        <v>2529</v>
      </c>
      <c r="J582" s="2">
        <v>199</v>
      </c>
      <c r="K582" s="2">
        <v>7.3</v>
      </c>
      <c r="L582" s="2" t="s">
        <v>78</v>
      </c>
      <c r="M582">
        <f t="shared" ref="M582:M645" si="55">AVERAGE(H579:H581)</f>
        <v>2733.6666666666665</v>
      </c>
      <c r="N582">
        <f t="shared" si="54"/>
        <v>2658.8650249353286</v>
      </c>
      <c r="O582">
        <f t="shared" si="51"/>
        <v>199</v>
      </c>
      <c r="P582" s="6">
        <f t="shared" si="52"/>
        <v>7.2947214076246339E-2</v>
      </c>
      <c r="Q582" s="6">
        <f t="shared" si="53"/>
        <v>2.5342732794967515E-2</v>
      </c>
    </row>
    <row r="583" spans="1:17" x14ac:dyDescent="0.25">
      <c r="A583" s="3">
        <v>582</v>
      </c>
      <c r="B583" s="3" t="s">
        <v>41</v>
      </c>
      <c r="C583" s="3" t="s">
        <v>42</v>
      </c>
      <c r="D583" s="3" t="s">
        <v>74</v>
      </c>
      <c r="E583" s="3">
        <v>6</v>
      </c>
      <c r="F583" s="3">
        <v>2023</v>
      </c>
      <c r="G583" s="9" t="s">
        <v>82</v>
      </c>
      <c r="H583" s="3">
        <v>3044</v>
      </c>
      <c r="I583" s="3">
        <v>3286</v>
      </c>
      <c r="J583" s="3">
        <v>-242</v>
      </c>
      <c r="K583" s="3">
        <v>8</v>
      </c>
      <c r="L583" s="3" t="s">
        <v>76</v>
      </c>
      <c r="M583">
        <f t="shared" si="55"/>
        <v>2898.6666666666665</v>
      </c>
      <c r="N583">
        <f t="shared" si="54"/>
        <v>2679.60551745473</v>
      </c>
      <c r="O583">
        <f t="shared" si="51"/>
        <v>242</v>
      </c>
      <c r="P583" s="6">
        <f t="shared" si="52"/>
        <v>7.9500657030223396E-2</v>
      </c>
      <c r="Q583" s="6">
        <f t="shared" si="53"/>
        <v>0.11970909413445137</v>
      </c>
    </row>
    <row r="584" spans="1:17" x14ac:dyDescent="0.25">
      <c r="A584" s="2">
        <v>583</v>
      </c>
      <c r="B584" s="2" t="s">
        <v>41</v>
      </c>
      <c r="C584" s="2" t="s">
        <v>42</v>
      </c>
      <c r="D584" s="2" t="s">
        <v>74</v>
      </c>
      <c r="E584" s="2">
        <v>7</v>
      </c>
      <c r="F584" s="2">
        <v>2023</v>
      </c>
      <c r="G584" s="8" t="s">
        <v>84</v>
      </c>
      <c r="H584" s="2">
        <v>3384</v>
      </c>
      <c r="I584" s="2">
        <v>3594</v>
      </c>
      <c r="J584" s="2">
        <v>-210</v>
      </c>
      <c r="K584" s="2">
        <v>6.2</v>
      </c>
      <c r="L584" s="2" t="s">
        <v>76</v>
      </c>
      <c r="M584">
        <f t="shared" si="55"/>
        <v>2968.3333333333335</v>
      </c>
      <c r="N584">
        <f t="shared" si="54"/>
        <v>2788.9238622183107</v>
      </c>
      <c r="O584">
        <f t="shared" si="51"/>
        <v>210</v>
      </c>
      <c r="P584" s="6">
        <f t="shared" si="52"/>
        <v>6.2056737588652482E-2</v>
      </c>
      <c r="Q584" s="6">
        <f t="shared" si="53"/>
        <v>0.17584992251231954</v>
      </c>
    </row>
    <row r="585" spans="1:17" x14ac:dyDescent="0.25">
      <c r="A585" s="3">
        <v>584</v>
      </c>
      <c r="B585" s="3" t="s">
        <v>41</v>
      </c>
      <c r="C585" s="3" t="s">
        <v>42</v>
      </c>
      <c r="D585" s="3" t="s">
        <v>74</v>
      </c>
      <c r="E585" s="3">
        <v>8</v>
      </c>
      <c r="F585" s="3">
        <v>2023</v>
      </c>
      <c r="G585" s="9" t="s">
        <v>85</v>
      </c>
      <c r="H585" s="3">
        <v>3058</v>
      </c>
      <c r="I585" s="3">
        <v>3186</v>
      </c>
      <c r="J585" s="3">
        <v>-128</v>
      </c>
      <c r="K585" s="3">
        <v>4.2</v>
      </c>
      <c r="L585" s="3" t="s">
        <v>83</v>
      </c>
      <c r="M585">
        <f t="shared" si="55"/>
        <v>3052</v>
      </c>
      <c r="N585">
        <f t="shared" si="54"/>
        <v>2967.4467035528173</v>
      </c>
      <c r="O585">
        <f t="shared" si="51"/>
        <v>128</v>
      </c>
      <c r="P585" s="6">
        <f t="shared" si="52"/>
        <v>4.1857423152387184E-2</v>
      </c>
      <c r="Q585" s="6">
        <f t="shared" si="53"/>
        <v>2.961193474401003E-2</v>
      </c>
    </row>
    <row r="586" spans="1:17" x14ac:dyDescent="0.25">
      <c r="A586" s="2">
        <v>585</v>
      </c>
      <c r="B586" s="2" t="s">
        <v>41</v>
      </c>
      <c r="C586" s="2" t="s">
        <v>42</v>
      </c>
      <c r="D586" s="2" t="s">
        <v>74</v>
      </c>
      <c r="E586" s="2">
        <v>9</v>
      </c>
      <c r="F586" s="2">
        <v>2023</v>
      </c>
      <c r="G586" s="8" t="s">
        <v>86</v>
      </c>
      <c r="H586" s="2">
        <v>2828</v>
      </c>
      <c r="I586" s="2">
        <v>3049</v>
      </c>
      <c r="J586" s="2">
        <v>-221</v>
      </c>
      <c r="K586" s="2">
        <v>7.8</v>
      </c>
      <c r="L586" s="2" t="s">
        <v>78</v>
      </c>
      <c r="M586">
        <f t="shared" si="55"/>
        <v>3162</v>
      </c>
      <c r="N586">
        <f t="shared" si="54"/>
        <v>2994.6126924869723</v>
      </c>
      <c r="O586">
        <f t="shared" si="51"/>
        <v>221</v>
      </c>
      <c r="P586" s="6">
        <f t="shared" si="52"/>
        <v>7.8147100424328153E-2</v>
      </c>
      <c r="Q586" s="6">
        <f t="shared" si="53"/>
        <v>5.8915379238674778E-2</v>
      </c>
    </row>
    <row r="587" spans="1:17" x14ac:dyDescent="0.25">
      <c r="A587" s="3">
        <v>586</v>
      </c>
      <c r="B587" s="3" t="s">
        <v>41</v>
      </c>
      <c r="C587" s="3" t="s">
        <v>42</v>
      </c>
      <c r="D587" s="3" t="s">
        <v>74</v>
      </c>
      <c r="E587" s="3">
        <v>10</v>
      </c>
      <c r="F587" s="3">
        <v>2023</v>
      </c>
      <c r="G587" s="9" t="s">
        <v>87</v>
      </c>
      <c r="H587" s="3">
        <v>3236</v>
      </c>
      <c r="I587" s="3">
        <v>3512</v>
      </c>
      <c r="J587" s="3">
        <v>-276</v>
      </c>
      <c r="K587" s="3">
        <v>8.5</v>
      </c>
      <c r="L587" s="3" t="s">
        <v>83</v>
      </c>
      <c r="M587">
        <f t="shared" si="55"/>
        <v>3090</v>
      </c>
      <c r="N587">
        <f t="shared" si="54"/>
        <v>2944.6288847408805</v>
      </c>
      <c r="O587">
        <f t="shared" si="51"/>
        <v>276</v>
      </c>
      <c r="P587" s="6">
        <f t="shared" si="52"/>
        <v>8.5290482076637822E-2</v>
      </c>
      <c r="Q587" s="6">
        <f t="shared" si="53"/>
        <v>9.0040517694412708E-2</v>
      </c>
    </row>
    <row r="588" spans="1:17" x14ac:dyDescent="0.25">
      <c r="A588" s="2">
        <v>587</v>
      </c>
      <c r="B588" s="2" t="s">
        <v>41</v>
      </c>
      <c r="C588" s="2" t="s">
        <v>42</v>
      </c>
      <c r="D588" s="2" t="s">
        <v>74</v>
      </c>
      <c r="E588" s="2">
        <v>11</v>
      </c>
      <c r="F588" s="2">
        <v>2023</v>
      </c>
      <c r="G588" s="8" t="s">
        <v>88</v>
      </c>
      <c r="H588" s="2">
        <v>3226</v>
      </c>
      <c r="I588" s="2">
        <v>3136</v>
      </c>
      <c r="J588" s="2">
        <v>90</v>
      </c>
      <c r="K588" s="2">
        <v>2.8</v>
      </c>
      <c r="L588" s="2" t="s">
        <v>78</v>
      </c>
      <c r="M588">
        <f t="shared" si="55"/>
        <v>3040.6666666666665</v>
      </c>
      <c r="N588">
        <f t="shared" si="54"/>
        <v>3032.0402193186164</v>
      </c>
      <c r="O588">
        <f t="shared" si="51"/>
        <v>90</v>
      </c>
      <c r="P588" s="6">
        <f t="shared" si="52"/>
        <v>2.7898326100433975E-2</v>
      </c>
      <c r="Q588" s="6">
        <f t="shared" si="53"/>
        <v>6.0123924575754356E-2</v>
      </c>
    </row>
    <row r="589" spans="1:17" x14ac:dyDescent="0.25">
      <c r="A589" s="3">
        <v>588</v>
      </c>
      <c r="B589" s="3" t="s">
        <v>41</v>
      </c>
      <c r="C589" s="3" t="s">
        <v>42</v>
      </c>
      <c r="D589" s="3" t="s">
        <v>74</v>
      </c>
      <c r="E589" s="3">
        <v>12</v>
      </c>
      <c r="F589" s="3">
        <v>2023</v>
      </c>
      <c r="G589" s="9" t="s">
        <v>89</v>
      </c>
      <c r="H589" s="3">
        <v>3309</v>
      </c>
      <c r="I589" s="3">
        <v>3111</v>
      </c>
      <c r="J589" s="3">
        <v>198</v>
      </c>
      <c r="K589" s="3">
        <v>6</v>
      </c>
      <c r="L589" s="3" t="s">
        <v>78</v>
      </c>
      <c r="M589">
        <f t="shared" si="55"/>
        <v>3096.6666666666665</v>
      </c>
      <c r="N589">
        <f t="shared" si="54"/>
        <v>3090.2281535230313</v>
      </c>
      <c r="O589">
        <f t="shared" si="51"/>
        <v>198</v>
      </c>
      <c r="P589" s="6">
        <f t="shared" si="52"/>
        <v>5.9836808703535811E-2</v>
      </c>
      <c r="Q589" s="6">
        <f t="shared" si="53"/>
        <v>6.6114187511927672E-2</v>
      </c>
    </row>
    <row r="590" spans="1:17" x14ac:dyDescent="0.25">
      <c r="A590" s="2">
        <v>589</v>
      </c>
      <c r="B590" s="2" t="s">
        <v>41</v>
      </c>
      <c r="C590" s="2" t="s">
        <v>42</v>
      </c>
      <c r="D590" s="2" t="s">
        <v>74</v>
      </c>
      <c r="E590" s="2">
        <v>1</v>
      </c>
      <c r="F590" s="2">
        <v>2024</v>
      </c>
      <c r="G590" s="8" t="s">
        <v>90</v>
      </c>
      <c r="H590" s="2">
        <v>2229</v>
      </c>
      <c r="I590" s="2">
        <v>2226</v>
      </c>
      <c r="J590" s="2">
        <v>3</v>
      </c>
      <c r="K590" s="2">
        <v>0.1</v>
      </c>
      <c r="L590" s="2" t="s">
        <v>76</v>
      </c>
      <c r="M590">
        <f t="shared" si="55"/>
        <v>3257</v>
      </c>
      <c r="N590">
        <f t="shared" si="54"/>
        <v>3155.8597074661216</v>
      </c>
      <c r="O590">
        <f t="shared" si="51"/>
        <v>3</v>
      </c>
      <c r="P590" s="6">
        <f t="shared" si="52"/>
        <v>1.3458950201884253E-3</v>
      </c>
      <c r="Q590" s="6">
        <f t="shared" si="53"/>
        <v>0.41581862156398453</v>
      </c>
    </row>
    <row r="591" spans="1:17" x14ac:dyDescent="0.25">
      <c r="A591" s="3">
        <v>590</v>
      </c>
      <c r="B591" s="3" t="s">
        <v>41</v>
      </c>
      <c r="C591" s="3" t="s">
        <v>42</v>
      </c>
      <c r="D591" s="3" t="s">
        <v>74</v>
      </c>
      <c r="E591" s="3">
        <v>2</v>
      </c>
      <c r="F591" s="3">
        <v>2024</v>
      </c>
      <c r="G591" s="9" t="s">
        <v>91</v>
      </c>
      <c r="H591" s="3">
        <v>2325</v>
      </c>
      <c r="I591" s="3">
        <v>2264</v>
      </c>
      <c r="J591" s="3">
        <v>61</v>
      </c>
      <c r="K591" s="3">
        <v>2.6</v>
      </c>
      <c r="L591" s="3" t="s">
        <v>83</v>
      </c>
      <c r="M591">
        <f t="shared" si="55"/>
        <v>2921.3333333333335</v>
      </c>
      <c r="N591">
        <f t="shared" si="54"/>
        <v>2877.8017952262849</v>
      </c>
      <c r="O591">
        <f t="shared" si="51"/>
        <v>61</v>
      </c>
      <c r="P591" s="6">
        <f t="shared" si="52"/>
        <v>2.6236559139784947E-2</v>
      </c>
      <c r="Q591" s="6">
        <f t="shared" si="53"/>
        <v>0.23776421300055264</v>
      </c>
    </row>
    <row r="592" spans="1:17" x14ac:dyDescent="0.25">
      <c r="A592" s="2">
        <v>591</v>
      </c>
      <c r="B592" s="2" t="s">
        <v>41</v>
      </c>
      <c r="C592" s="2" t="s">
        <v>42</v>
      </c>
      <c r="D592" s="2" t="s">
        <v>74</v>
      </c>
      <c r="E592" s="2">
        <v>3</v>
      </c>
      <c r="F592" s="2">
        <v>2024</v>
      </c>
      <c r="G592" s="8" t="s">
        <v>92</v>
      </c>
      <c r="H592" s="2">
        <v>2423</v>
      </c>
      <c r="I592" s="2">
        <v>2609</v>
      </c>
      <c r="J592" s="2">
        <v>-186</v>
      </c>
      <c r="K592" s="2">
        <v>7.7</v>
      </c>
      <c r="L592" s="2" t="s">
        <v>78</v>
      </c>
      <c r="M592">
        <f t="shared" si="55"/>
        <v>2621</v>
      </c>
      <c r="N592">
        <f t="shared" si="54"/>
        <v>2711.9612566583992</v>
      </c>
      <c r="O592">
        <f t="shared" si="51"/>
        <v>186</v>
      </c>
      <c r="P592" s="6">
        <f t="shared" si="52"/>
        <v>7.6764341725134133E-2</v>
      </c>
      <c r="Q592" s="6">
        <f t="shared" si="53"/>
        <v>0.11925763791101907</v>
      </c>
    </row>
    <row r="593" spans="1:17" x14ac:dyDescent="0.25">
      <c r="A593" s="3">
        <v>592</v>
      </c>
      <c r="B593" s="3" t="s">
        <v>41</v>
      </c>
      <c r="C593" s="3" t="s">
        <v>42</v>
      </c>
      <c r="D593" s="3" t="s">
        <v>74</v>
      </c>
      <c r="E593" s="3">
        <v>4</v>
      </c>
      <c r="F593" s="3">
        <v>2024</v>
      </c>
      <c r="G593" s="9" t="s">
        <v>93</v>
      </c>
      <c r="H593" s="3">
        <v>2671</v>
      </c>
      <c r="I593" s="3">
        <v>2937</v>
      </c>
      <c r="J593" s="3">
        <v>-266</v>
      </c>
      <c r="K593" s="3">
        <v>10</v>
      </c>
      <c r="L593" s="3" t="s">
        <v>83</v>
      </c>
      <c r="M593">
        <f t="shared" si="55"/>
        <v>2325.6666666666665</v>
      </c>
      <c r="N593">
        <f t="shared" si="54"/>
        <v>2625.2728796608794</v>
      </c>
      <c r="O593">
        <f t="shared" si="51"/>
        <v>266</v>
      </c>
      <c r="P593" s="6">
        <f t="shared" si="52"/>
        <v>9.9588169225009363E-2</v>
      </c>
      <c r="Q593" s="6">
        <f t="shared" si="53"/>
        <v>1.7119850370318448E-2</v>
      </c>
    </row>
    <row r="594" spans="1:17" x14ac:dyDescent="0.25">
      <c r="A594" s="2">
        <v>593</v>
      </c>
      <c r="B594" s="2" t="s">
        <v>41</v>
      </c>
      <c r="C594" s="2" t="s">
        <v>42</v>
      </c>
      <c r="D594" s="2" t="s">
        <v>74</v>
      </c>
      <c r="E594" s="2">
        <v>5</v>
      </c>
      <c r="F594" s="2">
        <v>2024</v>
      </c>
      <c r="G594" s="8" t="s">
        <v>94</v>
      </c>
      <c r="H594" s="2">
        <v>2924</v>
      </c>
      <c r="I594" s="2">
        <v>2871</v>
      </c>
      <c r="J594" s="2">
        <v>53</v>
      </c>
      <c r="K594" s="2">
        <v>1.8</v>
      </c>
      <c r="L594" s="2" t="s">
        <v>76</v>
      </c>
      <c r="M594">
        <f t="shared" si="55"/>
        <v>2473</v>
      </c>
      <c r="N594">
        <f t="shared" si="54"/>
        <v>2638.9910157626155</v>
      </c>
      <c r="O594">
        <f t="shared" si="51"/>
        <v>53</v>
      </c>
      <c r="P594" s="6">
        <f t="shared" si="52"/>
        <v>1.8125854993160054E-2</v>
      </c>
      <c r="Q594" s="6">
        <f t="shared" si="53"/>
        <v>9.7472292830842869E-2</v>
      </c>
    </row>
    <row r="595" spans="1:17" x14ac:dyDescent="0.25">
      <c r="A595" s="3">
        <v>594</v>
      </c>
      <c r="B595" s="3" t="s">
        <v>41</v>
      </c>
      <c r="C595" s="3" t="s">
        <v>42</v>
      </c>
      <c r="D595" s="3" t="s">
        <v>74</v>
      </c>
      <c r="E595" s="3">
        <v>6</v>
      </c>
      <c r="F595" s="3">
        <v>2024</v>
      </c>
      <c r="G595" s="9" t="s">
        <v>95</v>
      </c>
      <c r="H595" s="3">
        <v>3319</v>
      </c>
      <c r="I595" s="3">
        <v>3036</v>
      </c>
      <c r="J595" s="3">
        <v>283</v>
      </c>
      <c r="K595" s="3">
        <v>8.5</v>
      </c>
      <c r="L595" s="3" t="s">
        <v>76</v>
      </c>
      <c r="M595">
        <f t="shared" si="55"/>
        <v>2672.6666666666665</v>
      </c>
      <c r="N595">
        <f t="shared" si="54"/>
        <v>2724.4937110338306</v>
      </c>
      <c r="O595">
        <f t="shared" si="51"/>
        <v>283</v>
      </c>
      <c r="P595" s="6">
        <f t="shared" si="52"/>
        <v>8.5266646580295272E-2</v>
      </c>
      <c r="Q595" s="6">
        <f t="shared" si="53"/>
        <v>0.17912211177046383</v>
      </c>
    </row>
    <row r="596" spans="1:17" x14ac:dyDescent="0.25">
      <c r="A596" s="2">
        <v>595</v>
      </c>
      <c r="B596" s="2" t="s">
        <v>41</v>
      </c>
      <c r="C596" s="2" t="s">
        <v>42</v>
      </c>
      <c r="D596" s="2" t="s">
        <v>74</v>
      </c>
      <c r="E596" s="2">
        <v>7</v>
      </c>
      <c r="F596" s="2">
        <v>2024</v>
      </c>
      <c r="G596" s="8" t="s">
        <v>96</v>
      </c>
      <c r="H596" s="2">
        <v>3127</v>
      </c>
      <c r="I596" s="2">
        <v>3095</v>
      </c>
      <c r="J596" s="2">
        <v>32</v>
      </c>
      <c r="K596" s="2">
        <v>1</v>
      </c>
      <c r="L596" s="2" t="s">
        <v>83</v>
      </c>
      <c r="M596">
        <f t="shared" si="55"/>
        <v>2971.3333333333335</v>
      </c>
      <c r="N596">
        <f t="shared" si="54"/>
        <v>2902.8455977236813</v>
      </c>
      <c r="O596">
        <f t="shared" si="51"/>
        <v>32</v>
      </c>
      <c r="P596" s="6">
        <f t="shared" si="52"/>
        <v>1.0233450591621363E-2</v>
      </c>
      <c r="Q596" s="6">
        <f t="shared" si="53"/>
        <v>7.1683531268410206E-2</v>
      </c>
    </row>
    <row r="597" spans="1:17" x14ac:dyDescent="0.25">
      <c r="A597" s="3">
        <v>596</v>
      </c>
      <c r="B597" s="3" t="s">
        <v>41</v>
      </c>
      <c r="C597" s="3" t="s">
        <v>42</v>
      </c>
      <c r="D597" s="3" t="s">
        <v>74</v>
      </c>
      <c r="E597" s="3">
        <v>8</v>
      </c>
      <c r="F597" s="3">
        <v>2024</v>
      </c>
      <c r="G597" s="9" t="s">
        <v>97</v>
      </c>
      <c r="H597" s="3">
        <v>2952</v>
      </c>
      <c r="I597" s="3">
        <v>2732</v>
      </c>
      <c r="J597" s="3">
        <v>220</v>
      </c>
      <c r="K597" s="3">
        <v>7.5</v>
      </c>
      <c r="L597" s="3" t="s">
        <v>83</v>
      </c>
      <c r="M597">
        <f t="shared" si="55"/>
        <v>3123.3333333333335</v>
      </c>
      <c r="N597">
        <f t="shared" si="54"/>
        <v>2970.091918406577</v>
      </c>
      <c r="O597">
        <f t="shared" si="51"/>
        <v>220</v>
      </c>
      <c r="P597" s="6">
        <f t="shared" si="52"/>
        <v>7.4525745257452577E-2</v>
      </c>
      <c r="Q597" s="6">
        <f t="shared" si="53"/>
        <v>6.1286986472144141E-3</v>
      </c>
    </row>
    <row r="598" spans="1:17" x14ac:dyDescent="0.25">
      <c r="A598" s="2">
        <v>597</v>
      </c>
      <c r="B598" s="2" t="s">
        <v>41</v>
      </c>
      <c r="C598" s="2" t="s">
        <v>42</v>
      </c>
      <c r="D598" s="2" t="s">
        <v>74</v>
      </c>
      <c r="E598" s="2">
        <v>9</v>
      </c>
      <c r="F598" s="2">
        <v>2024</v>
      </c>
      <c r="G598" s="8" t="s">
        <v>98</v>
      </c>
      <c r="H598" s="2">
        <v>2893</v>
      </c>
      <c r="I598" s="2">
        <v>2708</v>
      </c>
      <c r="J598" s="2">
        <v>185</v>
      </c>
      <c r="K598" s="2">
        <v>6.4</v>
      </c>
      <c r="L598" s="2" t="s">
        <v>78</v>
      </c>
      <c r="M598">
        <f t="shared" si="55"/>
        <v>3132.6666666666665</v>
      </c>
      <c r="N598">
        <f t="shared" si="54"/>
        <v>2964.6643428846037</v>
      </c>
      <c r="O598">
        <f t="shared" si="51"/>
        <v>185</v>
      </c>
      <c r="P598" s="6">
        <f t="shared" si="52"/>
        <v>6.3947459384721739E-2</v>
      </c>
      <c r="Q598" s="6">
        <f t="shared" si="53"/>
        <v>2.4771635978086307E-2</v>
      </c>
    </row>
    <row r="599" spans="1:17" x14ac:dyDescent="0.25">
      <c r="A599" s="3">
        <v>598</v>
      </c>
      <c r="B599" s="3" t="s">
        <v>41</v>
      </c>
      <c r="C599" s="3" t="s">
        <v>42</v>
      </c>
      <c r="D599" s="3" t="s">
        <v>74</v>
      </c>
      <c r="E599" s="3">
        <v>10</v>
      </c>
      <c r="F599" s="3">
        <v>2024</v>
      </c>
      <c r="G599" s="9" t="s">
        <v>99</v>
      </c>
      <c r="H599" s="3">
        <v>3030</v>
      </c>
      <c r="I599" s="3">
        <v>3278</v>
      </c>
      <c r="J599" s="3">
        <v>-248</v>
      </c>
      <c r="K599" s="3">
        <v>8.1999999999999993</v>
      </c>
      <c r="L599" s="3" t="s">
        <v>78</v>
      </c>
      <c r="M599">
        <f t="shared" si="55"/>
        <v>2990.6666666666665</v>
      </c>
      <c r="N599">
        <f t="shared" si="54"/>
        <v>2943.1650400192225</v>
      </c>
      <c r="O599">
        <f t="shared" si="51"/>
        <v>248</v>
      </c>
      <c r="P599" s="6">
        <f t="shared" si="52"/>
        <v>8.1848184818481842E-2</v>
      </c>
      <c r="Q599" s="6">
        <f t="shared" si="53"/>
        <v>2.8658402633919972E-2</v>
      </c>
    </row>
    <row r="600" spans="1:17" x14ac:dyDescent="0.25">
      <c r="A600" s="2">
        <v>599</v>
      </c>
      <c r="B600" s="2" t="s">
        <v>41</v>
      </c>
      <c r="C600" s="2" t="s">
        <v>42</v>
      </c>
      <c r="D600" s="2" t="s">
        <v>74</v>
      </c>
      <c r="E600" s="2">
        <v>11</v>
      </c>
      <c r="F600" s="2">
        <v>2024</v>
      </c>
      <c r="G600" s="8" t="s">
        <v>100</v>
      </c>
      <c r="H600" s="2">
        <v>3778</v>
      </c>
      <c r="I600" s="2">
        <v>3791</v>
      </c>
      <c r="J600" s="2">
        <v>-13</v>
      </c>
      <c r="K600" s="2">
        <v>0.3</v>
      </c>
      <c r="L600" s="2" t="s">
        <v>76</v>
      </c>
      <c r="M600">
        <f t="shared" si="55"/>
        <v>2958.3333333333335</v>
      </c>
      <c r="N600">
        <f t="shared" si="54"/>
        <v>2969.2155280134557</v>
      </c>
      <c r="O600">
        <f t="shared" si="51"/>
        <v>13</v>
      </c>
      <c r="P600" s="6">
        <f t="shared" si="52"/>
        <v>3.4409740603493911E-3</v>
      </c>
      <c r="Q600" s="6">
        <f t="shared" si="53"/>
        <v>0.21407741450146753</v>
      </c>
    </row>
    <row r="601" spans="1:17" x14ac:dyDescent="0.25">
      <c r="A601" s="3">
        <v>600</v>
      </c>
      <c r="B601" s="3" t="s">
        <v>41</v>
      </c>
      <c r="C601" s="3" t="s">
        <v>42</v>
      </c>
      <c r="D601" s="3" t="s">
        <v>74</v>
      </c>
      <c r="E601" s="3">
        <v>12</v>
      </c>
      <c r="F601" s="3">
        <v>2024</v>
      </c>
      <c r="G601" s="9" t="s">
        <v>101</v>
      </c>
      <c r="H601" s="3">
        <v>3347</v>
      </c>
      <c r="I601" s="3">
        <v>3228</v>
      </c>
      <c r="J601" s="3">
        <v>119</v>
      </c>
      <c r="K601" s="3">
        <v>3.6</v>
      </c>
      <c r="L601" s="3" t="s">
        <v>83</v>
      </c>
      <c r="M601">
        <f t="shared" si="55"/>
        <v>3233.6666666666665</v>
      </c>
      <c r="N601">
        <f t="shared" si="54"/>
        <v>3211.8508696094186</v>
      </c>
      <c r="O601">
        <f t="shared" si="51"/>
        <v>119</v>
      </c>
      <c r="P601" s="6">
        <f t="shared" si="52"/>
        <v>3.5554227666567073E-2</v>
      </c>
      <c r="Q601" s="6">
        <f t="shared" si="53"/>
        <v>4.0379184460884787E-2</v>
      </c>
    </row>
    <row r="602" spans="1:17" x14ac:dyDescent="0.25">
      <c r="A602" s="2">
        <v>601</v>
      </c>
      <c r="B602" s="2" t="s">
        <v>41</v>
      </c>
      <c r="C602" s="2" t="s">
        <v>42</v>
      </c>
      <c r="D602" s="2" t="s">
        <v>102</v>
      </c>
      <c r="E602" s="2">
        <v>1</v>
      </c>
      <c r="F602" s="2">
        <v>2023</v>
      </c>
      <c r="G602" s="8" t="s">
        <v>75</v>
      </c>
      <c r="H602" s="2">
        <v>1889</v>
      </c>
      <c r="I602" s="2">
        <v>2058</v>
      </c>
      <c r="J602" s="2">
        <v>-169</v>
      </c>
      <c r="K602" s="2">
        <v>8.9</v>
      </c>
      <c r="L602" s="2" t="s">
        <v>83</v>
      </c>
      <c r="M602">
        <f t="shared" si="55"/>
        <v>3385</v>
      </c>
      <c r="N602">
        <f t="shared" si="54"/>
        <v>3252.3956087265929</v>
      </c>
      <c r="O602">
        <f t="shared" si="51"/>
        <v>169</v>
      </c>
      <c r="P602" s="6">
        <f t="shared" si="52"/>
        <v>8.9465325569084167E-2</v>
      </c>
      <c r="Q602" s="6">
        <f t="shared" si="53"/>
        <v>0.72175521901884221</v>
      </c>
    </row>
    <row r="603" spans="1:17" x14ac:dyDescent="0.25">
      <c r="A603" s="3">
        <v>602</v>
      </c>
      <c r="B603" s="3" t="s">
        <v>41</v>
      </c>
      <c r="C603" s="3" t="s">
        <v>42</v>
      </c>
      <c r="D603" s="3" t="s">
        <v>102</v>
      </c>
      <c r="E603" s="3">
        <v>2</v>
      </c>
      <c r="F603" s="3">
        <v>2023</v>
      </c>
      <c r="G603" s="9" t="s">
        <v>77</v>
      </c>
      <c r="H603" s="3">
        <v>2136</v>
      </c>
      <c r="I603" s="3">
        <v>2283</v>
      </c>
      <c r="J603" s="3">
        <v>-147</v>
      </c>
      <c r="K603" s="3">
        <v>6.9</v>
      </c>
      <c r="L603" s="3" t="s">
        <v>76</v>
      </c>
      <c r="M603">
        <f t="shared" si="55"/>
        <v>3004.6666666666665</v>
      </c>
      <c r="N603">
        <f t="shared" si="54"/>
        <v>2843.3769261086145</v>
      </c>
      <c r="O603">
        <f t="shared" si="51"/>
        <v>147</v>
      </c>
      <c r="P603" s="6">
        <f t="shared" si="52"/>
        <v>6.8820224719101125E-2</v>
      </c>
      <c r="Q603" s="6">
        <f t="shared" si="53"/>
        <v>0.33116897289729141</v>
      </c>
    </row>
    <row r="604" spans="1:17" x14ac:dyDescent="0.25">
      <c r="A604" s="2">
        <v>603</v>
      </c>
      <c r="B604" s="2" t="s">
        <v>41</v>
      </c>
      <c r="C604" s="2" t="s">
        <v>42</v>
      </c>
      <c r="D604" s="2" t="s">
        <v>102</v>
      </c>
      <c r="E604" s="2">
        <v>3</v>
      </c>
      <c r="F604" s="2">
        <v>2023</v>
      </c>
      <c r="G604" s="8" t="s">
        <v>79</v>
      </c>
      <c r="H604" s="2">
        <v>2096</v>
      </c>
      <c r="I604" s="2">
        <v>2287</v>
      </c>
      <c r="J604" s="2">
        <v>-191</v>
      </c>
      <c r="K604" s="2">
        <v>9.1</v>
      </c>
      <c r="L604" s="2" t="s">
        <v>76</v>
      </c>
      <c r="M604">
        <f t="shared" si="55"/>
        <v>2457.3333333333335</v>
      </c>
      <c r="N604">
        <f t="shared" si="54"/>
        <v>2631.16384827603</v>
      </c>
      <c r="O604">
        <f t="shared" si="51"/>
        <v>191</v>
      </c>
      <c r="P604" s="6">
        <f t="shared" si="52"/>
        <v>9.1125954198473288E-2</v>
      </c>
      <c r="Q604" s="6">
        <f t="shared" si="53"/>
        <v>0.25532626349047233</v>
      </c>
    </row>
    <row r="605" spans="1:17" x14ac:dyDescent="0.25">
      <c r="A605" s="3">
        <v>604</v>
      </c>
      <c r="B605" s="3" t="s">
        <v>41</v>
      </c>
      <c r="C605" s="3" t="s">
        <v>42</v>
      </c>
      <c r="D605" s="3" t="s">
        <v>102</v>
      </c>
      <c r="E605" s="3">
        <v>4</v>
      </c>
      <c r="F605" s="3">
        <v>2023</v>
      </c>
      <c r="G605" s="9" t="s">
        <v>80</v>
      </c>
      <c r="H605" s="3">
        <v>2165</v>
      </c>
      <c r="I605" s="3">
        <v>2079</v>
      </c>
      <c r="J605" s="3">
        <v>86</v>
      </c>
      <c r="K605" s="3">
        <v>4</v>
      </c>
      <c r="L605" s="3" t="s">
        <v>83</v>
      </c>
      <c r="M605">
        <f t="shared" si="55"/>
        <v>2040.3333333333333</v>
      </c>
      <c r="N605">
        <f t="shared" si="54"/>
        <v>2470.6146937932208</v>
      </c>
      <c r="O605">
        <f t="shared" si="51"/>
        <v>86</v>
      </c>
      <c r="P605" s="6">
        <f t="shared" si="52"/>
        <v>3.9722863741339494E-2</v>
      </c>
      <c r="Q605" s="6">
        <f t="shared" si="53"/>
        <v>0.14116152138255003</v>
      </c>
    </row>
    <row r="606" spans="1:17" x14ac:dyDescent="0.25">
      <c r="A606" s="2">
        <v>605</v>
      </c>
      <c r="B606" s="2" t="s">
        <v>41</v>
      </c>
      <c r="C606" s="2" t="s">
        <v>42</v>
      </c>
      <c r="D606" s="2" t="s">
        <v>102</v>
      </c>
      <c r="E606" s="2">
        <v>5</v>
      </c>
      <c r="F606" s="2">
        <v>2023</v>
      </c>
      <c r="G606" s="8" t="s">
        <v>81</v>
      </c>
      <c r="H606" s="2">
        <v>2255</v>
      </c>
      <c r="I606" s="2">
        <v>2318</v>
      </c>
      <c r="J606" s="2">
        <v>-63</v>
      </c>
      <c r="K606" s="2">
        <v>2.8</v>
      </c>
      <c r="L606" s="2" t="s">
        <v>83</v>
      </c>
      <c r="M606">
        <f t="shared" si="55"/>
        <v>2132.3333333333335</v>
      </c>
      <c r="N606">
        <f t="shared" si="54"/>
        <v>2378.9302856552545</v>
      </c>
      <c r="O606">
        <f t="shared" si="51"/>
        <v>63</v>
      </c>
      <c r="P606" s="6">
        <f t="shared" si="52"/>
        <v>2.7937915742793792E-2</v>
      </c>
      <c r="Q606" s="6">
        <f t="shared" si="53"/>
        <v>5.4957998073283575E-2</v>
      </c>
    </row>
    <row r="607" spans="1:17" x14ac:dyDescent="0.25">
      <c r="A607" s="3">
        <v>606</v>
      </c>
      <c r="B607" s="3" t="s">
        <v>41</v>
      </c>
      <c r="C607" s="3" t="s">
        <v>42</v>
      </c>
      <c r="D607" s="3" t="s">
        <v>102</v>
      </c>
      <c r="E607" s="3">
        <v>6</v>
      </c>
      <c r="F607" s="3">
        <v>2023</v>
      </c>
      <c r="G607" s="9" t="s">
        <v>82</v>
      </c>
      <c r="H607" s="3">
        <v>2895</v>
      </c>
      <c r="I607" s="3">
        <v>2694</v>
      </c>
      <c r="J607" s="3">
        <v>201</v>
      </c>
      <c r="K607" s="3">
        <v>6.9</v>
      </c>
      <c r="L607" s="3" t="s">
        <v>83</v>
      </c>
      <c r="M607">
        <f t="shared" si="55"/>
        <v>2172</v>
      </c>
      <c r="N607">
        <f t="shared" si="54"/>
        <v>2341.7511999586777</v>
      </c>
      <c r="O607">
        <f t="shared" si="51"/>
        <v>201</v>
      </c>
      <c r="P607" s="6">
        <f t="shared" si="52"/>
        <v>6.9430051813471505E-2</v>
      </c>
      <c r="Q607" s="6">
        <f t="shared" si="53"/>
        <v>0.19110493956522359</v>
      </c>
    </row>
    <row r="608" spans="1:17" x14ac:dyDescent="0.25">
      <c r="A608" s="2">
        <v>607</v>
      </c>
      <c r="B608" s="2" t="s">
        <v>41</v>
      </c>
      <c r="C608" s="2" t="s">
        <v>42</v>
      </c>
      <c r="D608" s="2" t="s">
        <v>102</v>
      </c>
      <c r="E608" s="2">
        <v>7</v>
      </c>
      <c r="F608" s="2">
        <v>2023</v>
      </c>
      <c r="G608" s="8" t="s">
        <v>84</v>
      </c>
      <c r="H608" s="2">
        <v>2647</v>
      </c>
      <c r="I608" s="2">
        <v>2859</v>
      </c>
      <c r="J608" s="2">
        <v>-212</v>
      </c>
      <c r="K608" s="2">
        <v>8</v>
      </c>
      <c r="L608" s="2" t="s">
        <v>76</v>
      </c>
      <c r="M608">
        <f t="shared" si="55"/>
        <v>2438.3333333333335</v>
      </c>
      <c r="N608">
        <f t="shared" si="54"/>
        <v>2507.7258399710745</v>
      </c>
      <c r="O608">
        <f t="shared" si="51"/>
        <v>212</v>
      </c>
      <c r="P608" s="6">
        <f t="shared" si="52"/>
        <v>8.0090668681526256E-2</v>
      </c>
      <c r="Q608" s="6">
        <f t="shared" si="53"/>
        <v>5.2615851918747833E-2</v>
      </c>
    </row>
    <row r="609" spans="1:17" x14ac:dyDescent="0.25">
      <c r="A609" s="3">
        <v>608</v>
      </c>
      <c r="B609" s="3" t="s">
        <v>41</v>
      </c>
      <c r="C609" s="3" t="s">
        <v>42</v>
      </c>
      <c r="D609" s="3" t="s">
        <v>102</v>
      </c>
      <c r="E609" s="3">
        <v>8</v>
      </c>
      <c r="F609" s="3">
        <v>2023</v>
      </c>
      <c r="G609" s="9" t="s">
        <v>85</v>
      </c>
      <c r="H609" s="3">
        <v>2704</v>
      </c>
      <c r="I609" s="3">
        <v>2738</v>
      </c>
      <c r="J609" s="3">
        <v>-34</v>
      </c>
      <c r="K609" s="3">
        <v>1.3</v>
      </c>
      <c r="L609" s="3" t="s">
        <v>78</v>
      </c>
      <c r="M609">
        <f t="shared" si="55"/>
        <v>2599</v>
      </c>
      <c r="N609">
        <f t="shared" si="54"/>
        <v>2549.508087979752</v>
      </c>
      <c r="O609">
        <f t="shared" si="51"/>
        <v>34</v>
      </c>
      <c r="P609" s="6">
        <f t="shared" si="52"/>
        <v>1.257396449704142E-2</v>
      </c>
      <c r="Q609" s="6">
        <f t="shared" si="53"/>
        <v>5.7134582847724866E-2</v>
      </c>
    </row>
    <row r="610" spans="1:17" x14ac:dyDescent="0.25">
      <c r="A610" s="2">
        <v>609</v>
      </c>
      <c r="B610" s="2" t="s">
        <v>41</v>
      </c>
      <c r="C610" s="2" t="s">
        <v>42</v>
      </c>
      <c r="D610" s="2" t="s">
        <v>102</v>
      </c>
      <c r="E610" s="2">
        <v>9</v>
      </c>
      <c r="F610" s="2">
        <v>2023</v>
      </c>
      <c r="G610" s="8" t="s">
        <v>86</v>
      </c>
      <c r="H610" s="2">
        <v>2140</v>
      </c>
      <c r="I610" s="2">
        <v>2331</v>
      </c>
      <c r="J610" s="2">
        <v>-191</v>
      </c>
      <c r="K610" s="2">
        <v>8.9</v>
      </c>
      <c r="L610" s="2" t="s">
        <v>83</v>
      </c>
      <c r="M610">
        <f t="shared" si="55"/>
        <v>2748.6666666666665</v>
      </c>
      <c r="N610">
        <f t="shared" si="54"/>
        <v>2595.8556615858261</v>
      </c>
      <c r="O610">
        <f t="shared" si="51"/>
        <v>191</v>
      </c>
      <c r="P610" s="6">
        <f t="shared" si="52"/>
        <v>8.9252336448598132E-2</v>
      </c>
      <c r="Q610" s="6">
        <f t="shared" si="53"/>
        <v>0.21301666429244209</v>
      </c>
    </row>
    <row r="611" spans="1:17" x14ac:dyDescent="0.25">
      <c r="A611" s="3">
        <v>610</v>
      </c>
      <c r="B611" s="3" t="s">
        <v>41</v>
      </c>
      <c r="C611" s="3" t="s">
        <v>42</v>
      </c>
      <c r="D611" s="3" t="s">
        <v>102</v>
      </c>
      <c r="E611" s="3">
        <v>10</v>
      </c>
      <c r="F611" s="3">
        <v>2023</v>
      </c>
      <c r="G611" s="9" t="s">
        <v>87</v>
      </c>
      <c r="H611" s="3">
        <v>2470</v>
      </c>
      <c r="I611" s="3">
        <v>2327</v>
      </c>
      <c r="J611" s="3">
        <v>143</v>
      </c>
      <c r="K611" s="3">
        <v>5.8</v>
      </c>
      <c r="L611" s="3" t="s">
        <v>83</v>
      </c>
      <c r="M611">
        <f t="shared" si="55"/>
        <v>2497</v>
      </c>
      <c r="N611">
        <f t="shared" si="54"/>
        <v>2459.0989631100783</v>
      </c>
      <c r="O611">
        <f t="shared" si="51"/>
        <v>143</v>
      </c>
      <c r="P611" s="6">
        <f t="shared" si="52"/>
        <v>5.7894736842105263E-2</v>
      </c>
      <c r="Q611" s="6">
        <f t="shared" si="53"/>
        <v>4.4133752590775994E-3</v>
      </c>
    </row>
    <row r="612" spans="1:17" x14ac:dyDescent="0.25">
      <c r="A612" s="2">
        <v>611</v>
      </c>
      <c r="B612" s="2" t="s">
        <v>41</v>
      </c>
      <c r="C612" s="2" t="s">
        <v>42</v>
      </c>
      <c r="D612" s="2" t="s">
        <v>102</v>
      </c>
      <c r="E612" s="2">
        <v>11</v>
      </c>
      <c r="F612" s="2">
        <v>2023</v>
      </c>
      <c r="G612" s="8" t="s">
        <v>88</v>
      </c>
      <c r="H612" s="2">
        <v>2915</v>
      </c>
      <c r="I612" s="2">
        <v>2996</v>
      </c>
      <c r="J612" s="2">
        <v>-81</v>
      </c>
      <c r="K612" s="2">
        <v>2.8</v>
      </c>
      <c r="L612" s="2" t="s">
        <v>76</v>
      </c>
      <c r="M612">
        <f t="shared" si="55"/>
        <v>2438</v>
      </c>
      <c r="N612">
        <f t="shared" si="54"/>
        <v>2462.3692741770546</v>
      </c>
      <c r="O612">
        <f t="shared" si="51"/>
        <v>81</v>
      </c>
      <c r="P612" s="6">
        <f t="shared" si="52"/>
        <v>2.7787307032590053E-2</v>
      </c>
      <c r="Q612" s="6">
        <f t="shared" si="53"/>
        <v>0.15527640680032431</v>
      </c>
    </row>
    <row r="613" spans="1:17" x14ac:dyDescent="0.25">
      <c r="A613" s="3">
        <v>612</v>
      </c>
      <c r="B613" s="3" t="s">
        <v>41</v>
      </c>
      <c r="C613" s="3" t="s">
        <v>42</v>
      </c>
      <c r="D613" s="3" t="s">
        <v>102</v>
      </c>
      <c r="E613" s="3">
        <v>12</v>
      </c>
      <c r="F613" s="3">
        <v>2023</v>
      </c>
      <c r="G613" s="9" t="s">
        <v>89</v>
      </c>
      <c r="H613" s="3">
        <v>3382</v>
      </c>
      <c r="I613" s="3">
        <v>3412</v>
      </c>
      <c r="J613" s="3">
        <v>-30</v>
      </c>
      <c r="K613" s="3">
        <v>0.9</v>
      </c>
      <c r="L613" s="3" t="s">
        <v>83</v>
      </c>
      <c r="M613">
        <f t="shared" si="55"/>
        <v>2508.3333333333335</v>
      </c>
      <c r="N613">
        <f t="shared" si="54"/>
        <v>2598.1584919239381</v>
      </c>
      <c r="O613">
        <f t="shared" si="51"/>
        <v>30</v>
      </c>
      <c r="P613" s="6">
        <f t="shared" si="52"/>
        <v>8.8704908338261383E-3</v>
      </c>
      <c r="Q613" s="6">
        <f t="shared" si="53"/>
        <v>0.23176863041870549</v>
      </c>
    </row>
    <row r="614" spans="1:17" x14ac:dyDescent="0.25">
      <c r="A614" s="2">
        <v>613</v>
      </c>
      <c r="B614" s="2" t="s">
        <v>41</v>
      </c>
      <c r="C614" s="2" t="s">
        <v>42</v>
      </c>
      <c r="D614" s="2" t="s">
        <v>102</v>
      </c>
      <c r="E614" s="2">
        <v>1</v>
      </c>
      <c r="F614" s="2">
        <v>2024</v>
      </c>
      <c r="G614" s="8" t="s">
        <v>90</v>
      </c>
      <c r="H614" s="2">
        <v>2244</v>
      </c>
      <c r="I614" s="2">
        <v>2236</v>
      </c>
      <c r="J614" s="2">
        <v>8</v>
      </c>
      <c r="K614" s="2">
        <v>0.4</v>
      </c>
      <c r="L614" s="2" t="s">
        <v>83</v>
      </c>
      <c r="M614">
        <f t="shared" si="55"/>
        <v>2922.3333333333335</v>
      </c>
      <c r="N614">
        <f t="shared" si="54"/>
        <v>2833.3109443467565</v>
      </c>
      <c r="O614">
        <f t="shared" si="51"/>
        <v>8</v>
      </c>
      <c r="P614" s="6">
        <f t="shared" si="52"/>
        <v>3.5650623885918001E-3</v>
      </c>
      <c r="Q614" s="6">
        <f t="shared" si="53"/>
        <v>0.26261628535951714</v>
      </c>
    </row>
    <row r="615" spans="1:17" x14ac:dyDescent="0.25">
      <c r="A615" s="3">
        <v>614</v>
      </c>
      <c r="B615" s="3" t="s">
        <v>41</v>
      </c>
      <c r="C615" s="3" t="s">
        <v>42</v>
      </c>
      <c r="D615" s="3" t="s">
        <v>102</v>
      </c>
      <c r="E615" s="3">
        <v>2</v>
      </c>
      <c r="F615" s="3">
        <v>2024</v>
      </c>
      <c r="G615" s="9" t="s">
        <v>91</v>
      </c>
      <c r="H615" s="3">
        <v>1907</v>
      </c>
      <c r="I615" s="3">
        <v>1889</v>
      </c>
      <c r="J615" s="3">
        <v>18</v>
      </c>
      <c r="K615" s="3">
        <v>0.9</v>
      </c>
      <c r="L615" s="3" t="s">
        <v>83</v>
      </c>
      <c r="M615">
        <f t="shared" si="55"/>
        <v>2847</v>
      </c>
      <c r="N615">
        <f t="shared" si="54"/>
        <v>2656.5176610427293</v>
      </c>
      <c r="O615">
        <f t="shared" si="51"/>
        <v>18</v>
      </c>
      <c r="P615" s="6">
        <f t="shared" si="52"/>
        <v>9.438909281594127E-3</v>
      </c>
      <c r="Q615" s="6">
        <f t="shared" si="53"/>
        <v>0.39303495597416321</v>
      </c>
    </row>
    <row r="616" spans="1:17" x14ac:dyDescent="0.25">
      <c r="A616" s="2">
        <v>615</v>
      </c>
      <c r="B616" s="2" t="s">
        <v>41</v>
      </c>
      <c r="C616" s="2" t="s">
        <v>42</v>
      </c>
      <c r="D616" s="2" t="s">
        <v>102</v>
      </c>
      <c r="E616" s="2">
        <v>3</v>
      </c>
      <c r="F616" s="2">
        <v>2024</v>
      </c>
      <c r="G616" s="8" t="s">
        <v>92</v>
      </c>
      <c r="H616" s="2">
        <v>2022</v>
      </c>
      <c r="I616" s="2">
        <v>1997</v>
      </c>
      <c r="J616" s="2">
        <v>25</v>
      </c>
      <c r="K616" s="2">
        <v>1.2</v>
      </c>
      <c r="L616" s="2" t="s">
        <v>76</v>
      </c>
      <c r="M616">
        <f t="shared" si="55"/>
        <v>2511</v>
      </c>
      <c r="N616">
        <f t="shared" si="54"/>
        <v>2431.6623627299105</v>
      </c>
      <c r="O616">
        <f t="shared" si="51"/>
        <v>25</v>
      </c>
      <c r="P616" s="6">
        <f t="shared" si="52"/>
        <v>1.2363996043521267E-2</v>
      </c>
      <c r="Q616" s="6">
        <f t="shared" si="53"/>
        <v>0.20260255327888746</v>
      </c>
    </row>
    <row r="617" spans="1:17" x14ac:dyDescent="0.25">
      <c r="A617" s="3">
        <v>616</v>
      </c>
      <c r="B617" s="3" t="s">
        <v>41</v>
      </c>
      <c r="C617" s="3" t="s">
        <v>42</v>
      </c>
      <c r="D617" s="3" t="s">
        <v>102</v>
      </c>
      <c r="E617" s="3">
        <v>4</v>
      </c>
      <c r="F617" s="3">
        <v>2024</v>
      </c>
      <c r="G617" s="9" t="s">
        <v>93</v>
      </c>
      <c r="H617" s="3">
        <v>2359</v>
      </c>
      <c r="I617" s="3">
        <v>2283</v>
      </c>
      <c r="J617" s="3">
        <v>76</v>
      </c>
      <c r="K617" s="3">
        <v>3.2</v>
      </c>
      <c r="L617" s="3" t="s">
        <v>78</v>
      </c>
      <c r="M617">
        <f t="shared" si="55"/>
        <v>2057.6666666666665</v>
      </c>
      <c r="N617">
        <f t="shared" si="54"/>
        <v>2308.7636539109371</v>
      </c>
      <c r="O617">
        <f t="shared" si="51"/>
        <v>76</v>
      </c>
      <c r="P617" s="6">
        <f t="shared" si="52"/>
        <v>3.2217041119118273E-2</v>
      </c>
      <c r="Q617" s="6">
        <f t="shared" si="53"/>
        <v>2.1295610889810454E-2</v>
      </c>
    </row>
    <row r="618" spans="1:17" x14ac:dyDescent="0.25">
      <c r="A618" s="2">
        <v>617</v>
      </c>
      <c r="B618" s="2" t="s">
        <v>41</v>
      </c>
      <c r="C618" s="2" t="s">
        <v>42</v>
      </c>
      <c r="D618" s="2" t="s">
        <v>102</v>
      </c>
      <c r="E618" s="2">
        <v>5</v>
      </c>
      <c r="F618" s="2">
        <v>2024</v>
      </c>
      <c r="G618" s="8" t="s">
        <v>94</v>
      </c>
      <c r="H618" s="2">
        <v>2386</v>
      </c>
      <c r="I618" s="2">
        <v>2490</v>
      </c>
      <c r="J618" s="2">
        <v>-104</v>
      </c>
      <c r="K618" s="2">
        <v>4.4000000000000004</v>
      </c>
      <c r="L618" s="2" t="s">
        <v>83</v>
      </c>
      <c r="M618">
        <f t="shared" si="55"/>
        <v>2096</v>
      </c>
      <c r="N618">
        <f t="shared" si="54"/>
        <v>2323.8345577376558</v>
      </c>
      <c r="O618">
        <f t="shared" si="51"/>
        <v>104</v>
      </c>
      <c r="P618" s="6">
        <f t="shared" si="52"/>
        <v>4.3587594300083819E-2</v>
      </c>
      <c r="Q618" s="6">
        <f t="shared" si="53"/>
        <v>2.6054250738618688E-2</v>
      </c>
    </row>
    <row r="619" spans="1:17" x14ac:dyDescent="0.25">
      <c r="A619" s="3">
        <v>618</v>
      </c>
      <c r="B619" s="3" t="s">
        <v>41</v>
      </c>
      <c r="C619" s="3" t="s">
        <v>42</v>
      </c>
      <c r="D619" s="3" t="s">
        <v>102</v>
      </c>
      <c r="E619" s="3">
        <v>6</v>
      </c>
      <c r="F619" s="3">
        <v>2024</v>
      </c>
      <c r="G619" s="9" t="s">
        <v>95</v>
      </c>
      <c r="H619" s="3">
        <v>2924</v>
      </c>
      <c r="I619" s="3">
        <v>2833</v>
      </c>
      <c r="J619" s="3">
        <v>91</v>
      </c>
      <c r="K619" s="3">
        <v>3.1</v>
      </c>
      <c r="L619" s="3" t="s">
        <v>76</v>
      </c>
      <c r="M619">
        <f t="shared" si="55"/>
        <v>2255.6666666666665</v>
      </c>
      <c r="N619">
        <f t="shared" si="54"/>
        <v>2342.4841904163586</v>
      </c>
      <c r="O619">
        <f t="shared" si="51"/>
        <v>91</v>
      </c>
      <c r="P619" s="6">
        <f t="shared" si="52"/>
        <v>3.1121751025991792E-2</v>
      </c>
      <c r="Q619" s="6">
        <f t="shared" si="53"/>
        <v>0.19887681586307845</v>
      </c>
    </row>
    <row r="620" spans="1:17" x14ac:dyDescent="0.25">
      <c r="A620" s="2">
        <v>619</v>
      </c>
      <c r="B620" s="2" t="s">
        <v>41</v>
      </c>
      <c r="C620" s="2" t="s">
        <v>42</v>
      </c>
      <c r="D620" s="2" t="s">
        <v>102</v>
      </c>
      <c r="E620" s="2">
        <v>7</v>
      </c>
      <c r="F620" s="2">
        <v>2024</v>
      </c>
      <c r="G620" s="8" t="s">
        <v>96</v>
      </c>
      <c r="H620" s="2">
        <v>2342</v>
      </c>
      <c r="I620" s="2">
        <v>2281</v>
      </c>
      <c r="J620" s="2">
        <v>61</v>
      </c>
      <c r="K620" s="2">
        <v>2.6</v>
      </c>
      <c r="L620" s="2" t="s">
        <v>83</v>
      </c>
      <c r="M620">
        <f t="shared" si="55"/>
        <v>2556.3333333333335</v>
      </c>
      <c r="N620">
        <f t="shared" si="54"/>
        <v>2516.9389332914507</v>
      </c>
      <c r="O620">
        <f t="shared" si="51"/>
        <v>61</v>
      </c>
      <c r="P620" s="6">
        <f t="shared" si="52"/>
        <v>2.6046114432109309E-2</v>
      </c>
      <c r="Q620" s="6">
        <f t="shared" si="53"/>
        <v>7.4696384838364924E-2</v>
      </c>
    </row>
    <row r="621" spans="1:17" x14ac:dyDescent="0.25">
      <c r="A621" s="3">
        <v>620</v>
      </c>
      <c r="B621" s="3" t="s">
        <v>41</v>
      </c>
      <c r="C621" s="3" t="s">
        <v>42</v>
      </c>
      <c r="D621" s="3" t="s">
        <v>102</v>
      </c>
      <c r="E621" s="3">
        <v>8</v>
      </c>
      <c r="F621" s="3">
        <v>2024</v>
      </c>
      <c r="G621" s="9" t="s">
        <v>97</v>
      </c>
      <c r="H621" s="3">
        <v>2262</v>
      </c>
      <c r="I621" s="3">
        <v>2145</v>
      </c>
      <c r="J621" s="3">
        <v>117</v>
      </c>
      <c r="K621" s="3">
        <v>5.2</v>
      </c>
      <c r="L621" s="3" t="s">
        <v>78</v>
      </c>
      <c r="M621">
        <f t="shared" si="55"/>
        <v>2550.6666666666665</v>
      </c>
      <c r="N621">
        <f t="shared" si="54"/>
        <v>2464.4572533040155</v>
      </c>
      <c r="O621">
        <f t="shared" si="51"/>
        <v>117</v>
      </c>
      <c r="P621" s="6">
        <f t="shared" si="52"/>
        <v>5.1724137931034482E-2</v>
      </c>
      <c r="Q621" s="6">
        <f t="shared" si="53"/>
        <v>8.9503648675515232E-2</v>
      </c>
    </row>
    <row r="622" spans="1:17" x14ac:dyDescent="0.25">
      <c r="A622" s="2">
        <v>621</v>
      </c>
      <c r="B622" s="2" t="s">
        <v>41</v>
      </c>
      <c r="C622" s="2" t="s">
        <v>42</v>
      </c>
      <c r="D622" s="2" t="s">
        <v>102</v>
      </c>
      <c r="E622" s="2">
        <v>9</v>
      </c>
      <c r="F622" s="2">
        <v>2024</v>
      </c>
      <c r="G622" s="8" t="s">
        <v>98</v>
      </c>
      <c r="H622" s="2">
        <v>2247</v>
      </c>
      <c r="I622" s="2">
        <v>2133</v>
      </c>
      <c r="J622" s="2">
        <v>114</v>
      </c>
      <c r="K622" s="2">
        <v>5.0999999999999996</v>
      </c>
      <c r="L622" s="2" t="s">
        <v>78</v>
      </c>
      <c r="M622">
        <f t="shared" si="55"/>
        <v>2509.3333333333335</v>
      </c>
      <c r="N622">
        <f t="shared" si="54"/>
        <v>2403.7200773128106</v>
      </c>
      <c r="O622">
        <f t="shared" si="51"/>
        <v>114</v>
      </c>
      <c r="P622" s="6">
        <f t="shared" si="52"/>
        <v>5.0734312416555405E-2</v>
      </c>
      <c r="Q622" s="6">
        <f t="shared" si="53"/>
        <v>6.974636284504257E-2</v>
      </c>
    </row>
    <row r="623" spans="1:17" x14ac:dyDescent="0.25">
      <c r="A623" s="3">
        <v>622</v>
      </c>
      <c r="B623" s="3" t="s">
        <v>41</v>
      </c>
      <c r="C623" s="3" t="s">
        <v>42</v>
      </c>
      <c r="D623" s="3" t="s">
        <v>102</v>
      </c>
      <c r="E623" s="3">
        <v>10</v>
      </c>
      <c r="F623" s="3">
        <v>2024</v>
      </c>
      <c r="G623" s="9" t="s">
        <v>99</v>
      </c>
      <c r="H623" s="3">
        <v>2335</v>
      </c>
      <c r="I623" s="3">
        <v>2542</v>
      </c>
      <c r="J623" s="3">
        <v>-207</v>
      </c>
      <c r="K623" s="3">
        <v>8.9</v>
      </c>
      <c r="L623" s="3" t="s">
        <v>83</v>
      </c>
      <c r="M623">
        <f t="shared" si="55"/>
        <v>2283.6666666666665</v>
      </c>
      <c r="N623">
        <f t="shared" si="54"/>
        <v>2356.7040541189672</v>
      </c>
      <c r="O623">
        <f t="shared" si="51"/>
        <v>207</v>
      </c>
      <c r="P623" s="6">
        <f t="shared" si="52"/>
        <v>8.865096359743041E-2</v>
      </c>
      <c r="Q623" s="6">
        <f t="shared" si="53"/>
        <v>9.29509812375468E-3</v>
      </c>
    </row>
    <row r="624" spans="1:17" x14ac:dyDescent="0.25">
      <c r="A624" s="2">
        <v>623</v>
      </c>
      <c r="B624" s="2" t="s">
        <v>41</v>
      </c>
      <c r="C624" s="2" t="s">
        <v>42</v>
      </c>
      <c r="D624" s="2" t="s">
        <v>102</v>
      </c>
      <c r="E624" s="2">
        <v>11</v>
      </c>
      <c r="F624" s="2">
        <v>2024</v>
      </c>
      <c r="G624" s="8" t="s">
        <v>100</v>
      </c>
      <c r="H624" s="2">
        <v>2916</v>
      </c>
      <c r="I624" s="2">
        <v>3185</v>
      </c>
      <c r="J624" s="2">
        <v>-269</v>
      </c>
      <c r="K624" s="2">
        <v>9.1999999999999993</v>
      </c>
      <c r="L624" s="2" t="s">
        <v>78</v>
      </c>
      <c r="M624">
        <f t="shared" si="55"/>
        <v>2281.3333333333335</v>
      </c>
      <c r="N624">
        <f t="shared" si="54"/>
        <v>2350.1928378832772</v>
      </c>
      <c r="O624">
        <f t="shared" si="51"/>
        <v>269</v>
      </c>
      <c r="P624" s="6">
        <f t="shared" si="52"/>
        <v>9.2249657064471885E-2</v>
      </c>
      <c r="Q624" s="6">
        <f t="shared" si="53"/>
        <v>0.19403537795498038</v>
      </c>
    </row>
    <row r="625" spans="1:17" x14ac:dyDescent="0.25">
      <c r="A625" s="3">
        <v>624</v>
      </c>
      <c r="B625" s="3" t="s">
        <v>41</v>
      </c>
      <c r="C625" s="3" t="s">
        <v>42</v>
      </c>
      <c r="D625" s="3" t="s">
        <v>102</v>
      </c>
      <c r="E625" s="3">
        <v>12</v>
      </c>
      <c r="F625" s="3">
        <v>2024</v>
      </c>
      <c r="G625" s="9" t="s">
        <v>101</v>
      </c>
      <c r="H625" s="3">
        <v>3326</v>
      </c>
      <c r="I625" s="3">
        <v>3614</v>
      </c>
      <c r="J625" s="3">
        <v>-288</v>
      </c>
      <c r="K625" s="3">
        <v>8.6999999999999993</v>
      </c>
      <c r="L625" s="3" t="s">
        <v>83</v>
      </c>
      <c r="M625">
        <f t="shared" si="55"/>
        <v>2499.3333333333335</v>
      </c>
      <c r="N625">
        <f t="shared" si="54"/>
        <v>2519.934986518294</v>
      </c>
      <c r="O625">
        <f t="shared" si="51"/>
        <v>288</v>
      </c>
      <c r="P625" s="6">
        <f t="shared" si="52"/>
        <v>8.6590499098015639E-2</v>
      </c>
      <c r="Q625" s="6">
        <f t="shared" si="53"/>
        <v>0.24235267994038065</v>
      </c>
    </row>
    <row r="626" spans="1:17" x14ac:dyDescent="0.25">
      <c r="A626" s="2">
        <v>625</v>
      </c>
      <c r="B626" s="2" t="s">
        <v>41</v>
      </c>
      <c r="C626" s="2" t="s">
        <v>42</v>
      </c>
      <c r="D626" s="2" t="s">
        <v>103</v>
      </c>
      <c r="E626" s="2">
        <v>1</v>
      </c>
      <c r="F626" s="2">
        <v>2023</v>
      </c>
      <c r="G626" s="8" t="s">
        <v>75</v>
      </c>
      <c r="H626" s="2">
        <v>2159</v>
      </c>
      <c r="I626" s="2">
        <v>2272</v>
      </c>
      <c r="J626" s="2">
        <v>-113</v>
      </c>
      <c r="K626" s="2">
        <v>5.2</v>
      </c>
      <c r="L626" s="2" t="s">
        <v>76</v>
      </c>
      <c r="M626">
        <f t="shared" si="55"/>
        <v>2859</v>
      </c>
      <c r="N626">
        <f t="shared" si="54"/>
        <v>2761.7544905628056</v>
      </c>
      <c r="O626">
        <f t="shared" si="51"/>
        <v>113</v>
      </c>
      <c r="P626" s="6">
        <f t="shared" si="52"/>
        <v>5.2339045854562297E-2</v>
      </c>
      <c r="Q626" s="6">
        <f t="shared" si="53"/>
        <v>0.27918225593460194</v>
      </c>
    </row>
    <row r="627" spans="1:17" x14ac:dyDescent="0.25">
      <c r="A627" s="3">
        <v>626</v>
      </c>
      <c r="B627" s="3" t="s">
        <v>41</v>
      </c>
      <c r="C627" s="3" t="s">
        <v>42</v>
      </c>
      <c r="D627" s="3" t="s">
        <v>103</v>
      </c>
      <c r="E627" s="3">
        <v>2</v>
      </c>
      <c r="F627" s="3">
        <v>2023</v>
      </c>
      <c r="G627" s="9" t="s">
        <v>77</v>
      </c>
      <c r="H627" s="3">
        <v>2440</v>
      </c>
      <c r="I627" s="3">
        <v>2423</v>
      </c>
      <c r="J627" s="3">
        <v>17</v>
      </c>
      <c r="K627" s="3">
        <v>0.7</v>
      </c>
      <c r="L627" s="3" t="s">
        <v>76</v>
      </c>
      <c r="M627">
        <f t="shared" si="55"/>
        <v>2800.3333333333335</v>
      </c>
      <c r="N627">
        <f t="shared" si="54"/>
        <v>2580.9281433939636</v>
      </c>
      <c r="O627">
        <f t="shared" si="51"/>
        <v>17</v>
      </c>
      <c r="P627" s="6">
        <f t="shared" si="52"/>
        <v>6.9672131147540985E-3</v>
      </c>
      <c r="Q627" s="6">
        <f t="shared" si="53"/>
        <v>5.7757435817198215E-2</v>
      </c>
    </row>
    <row r="628" spans="1:17" x14ac:dyDescent="0.25">
      <c r="A628" s="2">
        <v>627</v>
      </c>
      <c r="B628" s="2" t="s">
        <v>41</v>
      </c>
      <c r="C628" s="2" t="s">
        <v>42</v>
      </c>
      <c r="D628" s="2" t="s">
        <v>103</v>
      </c>
      <c r="E628" s="2">
        <v>3</v>
      </c>
      <c r="F628" s="2">
        <v>2023</v>
      </c>
      <c r="G628" s="8" t="s">
        <v>79</v>
      </c>
      <c r="H628" s="2">
        <v>2525</v>
      </c>
      <c r="I628" s="2">
        <v>2317</v>
      </c>
      <c r="J628" s="2">
        <v>208</v>
      </c>
      <c r="K628" s="2">
        <v>8.1999999999999993</v>
      </c>
      <c r="L628" s="2" t="s">
        <v>76</v>
      </c>
      <c r="M628">
        <f t="shared" si="55"/>
        <v>2641.6666666666665</v>
      </c>
      <c r="N628">
        <f t="shared" si="54"/>
        <v>2538.6497003757745</v>
      </c>
      <c r="O628">
        <f t="shared" si="51"/>
        <v>208</v>
      </c>
      <c r="P628" s="6">
        <f t="shared" si="52"/>
        <v>8.237623762376238E-2</v>
      </c>
      <c r="Q628" s="6">
        <f t="shared" si="53"/>
        <v>5.4058219309998023E-3</v>
      </c>
    </row>
    <row r="629" spans="1:17" x14ac:dyDescent="0.25">
      <c r="A629" s="3">
        <v>628</v>
      </c>
      <c r="B629" s="3" t="s">
        <v>41</v>
      </c>
      <c r="C629" s="3" t="s">
        <v>42</v>
      </c>
      <c r="D629" s="3" t="s">
        <v>103</v>
      </c>
      <c r="E629" s="3">
        <v>4</v>
      </c>
      <c r="F629" s="3">
        <v>2023</v>
      </c>
      <c r="G629" s="9" t="s">
        <v>80</v>
      </c>
      <c r="H629" s="3">
        <v>2663</v>
      </c>
      <c r="I629" s="3">
        <v>2911</v>
      </c>
      <c r="J629" s="3">
        <v>-248</v>
      </c>
      <c r="K629" s="3">
        <v>9.3000000000000007</v>
      </c>
      <c r="L629" s="3" t="s">
        <v>78</v>
      </c>
      <c r="M629">
        <f t="shared" si="55"/>
        <v>2374.6666666666665</v>
      </c>
      <c r="N629">
        <f t="shared" si="54"/>
        <v>2534.5547902630424</v>
      </c>
      <c r="O629">
        <f t="shared" si="51"/>
        <v>248</v>
      </c>
      <c r="P629" s="6">
        <f t="shared" si="52"/>
        <v>9.3128051070221554E-2</v>
      </c>
      <c r="Q629" s="6">
        <f t="shared" si="53"/>
        <v>4.8233274403664143E-2</v>
      </c>
    </row>
    <row r="630" spans="1:17" x14ac:dyDescent="0.25">
      <c r="A630" s="2">
        <v>629</v>
      </c>
      <c r="B630" s="2" t="s">
        <v>41</v>
      </c>
      <c r="C630" s="2" t="s">
        <v>42</v>
      </c>
      <c r="D630" s="2" t="s">
        <v>103</v>
      </c>
      <c r="E630" s="2">
        <v>5</v>
      </c>
      <c r="F630" s="2">
        <v>2023</v>
      </c>
      <c r="G630" s="8" t="s">
        <v>81</v>
      </c>
      <c r="H630" s="2">
        <v>2848</v>
      </c>
      <c r="I630" s="2">
        <v>2590</v>
      </c>
      <c r="J630" s="2">
        <v>258</v>
      </c>
      <c r="K630" s="2">
        <v>9.1</v>
      </c>
      <c r="L630" s="2" t="s">
        <v>76</v>
      </c>
      <c r="M630">
        <f t="shared" si="55"/>
        <v>2542.6666666666665</v>
      </c>
      <c r="N630">
        <f t="shared" si="54"/>
        <v>2573.0883531841296</v>
      </c>
      <c r="O630">
        <f t="shared" si="51"/>
        <v>258</v>
      </c>
      <c r="P630" s="6">
        <f t="shared" si="52"/>
        <v>9.0589887640449437E-2</v>
      </c>
      <c r="Q630" s="6">
        <f t="shared" si="53"/>
        <v>9.6527965876358993E-2</v>
      </c>
    </row>
    <row r="631" spans="1:17" x14ac:dyDescent="0.25">
      <c r="A631" s="3">
        <v>630</v>
      </c>
      <c r="B631" s="3" t="s">
        <v>41</v>
      </c>
      <c r="C631" s="3" t="s">
        <v>42</v>
      </c>
      <c r="D631" s="3" t="s">
        <v>103</v>
      </c>
      <c r="E631" s="3">
        <v>6</v>
      </c>
      <c r="F631" s="3">
        <v>2023</v>
      </c>
      <c r="G631" s="9" t="s">
        <v>82</v>
      </c>
      <c r="H631" s="3">
        <v>2922</v>
      </c>
      <c r="I631" s="3">
        <v>3145</v>
      </c>
      <c r="J631" s="3">
        <v>-223</v>
      </c>
      <c r="K631" s="3">
        <v>7.6</v>
      </c>
      <c r="L631" s="3" t="s">
        <v>83</v>
      </c>
      <c r="M631">
        <f t="shared" si="55"/>
        <v>2678.6666666666665</v>
      </c>
      <c r="N631">
        <f t="shared" si="54"/>
        <v>2655.5618472288907</v>
      </c>
      <c r="O631">
        <f t="shared" si="51"/>
        <v>223</v>
      </c>
      <c r="P631" s="6">
        <f t="shared" si="52"/>
        <v>7.6317590691307322E-2</v>
      </c>
      <c r="Q631" s="6">
        <f t="shared" si="53"/>
        <v>9.1183488285800599E-2</v>
      </c>
    </row>
    <row r="632" spans="1:17" x14ac:dyDescent="0.25">
      <c r="A632" s="2">
        <v>631</v>
      </c>
      <c r="B632" s="2" t="s">
        <v>41</v>
      </c>
      <c r="C632" s="2" t="s">
        <v>42</v>
      </c>
      <c r="D632" s="2" t="s">
        <v>103</v>
      </c>
      <c r="E632" s="2">
        <v>7</v>
      </c>
      <c r="F632" s="2">
        <v>2023</v>
      </c>
      <c r="G632" s="8" t="s">
        <v>84</v>
      </c>
      <c r="H632" s="2">
        <v>2991</v>
      </c>
      <c r="I632" s="2">
        <v>2862</v>
      </c>
      <c r="J632" s="2">
        <v>129</v>
      </c>
      <c r="K632" s="2">
        <v>4.3</v>
      </c>
      <c r="L632" s="2" t="s">
        <v>78</v>
      </c>
      <c r="M632">
        <f t="shared" si="55"/>
        <v>2811</v>
      </c>
      <c r="N632">
        <f t="shared" si="54"/>
        <v>2735.4932930602236</v>
      </c>
      <c r="O632">
        <f t="shared" si="51"/>
        <v>129</v>
      </c>
      <c r="P632" s="6">
        <f t="shared" si="52"/>
        <v>4.3129388164493479E-2</v>
      </c>
      <c r="Q632" s="6">
        <f t="shared" si="53"/>
        <v>8.5425177846799219E-2</v>
      </c>
    </row>
    <row r="633" spans="1:17" x14ac:dyDescent="0.25">
      <c r="A633" s="3">
        <v>632</v>
      </c>
      <c r="B633" s="3" t="s">
        <v>41</v>
      </c>
      <c r="C633" s="3" t="s">
        <v>42</v>
      </c>
      <c r="D633" s="3" t="s">
        <v>103</v>
      </c>
      <c r="E633" s="3">
        <v>8</v>
      </c>
      <c r="F633" s="3">
        <v>2023</v>
      </c>
      <c r="G633" s="9" t="s">
        <v>85</v>
      </c>
      <c r="H633" s="3">
        <v>3025</v>
      </c>
      <c r="I633" s="3">
        <v>2983</v>
      </c>
      <c r="J633" s="3">
        <v>42</v>
      </c>
      <c r="K633" s="3">
        <v>1.4</v>
      </c>
      <c r="L633" s="3" t="s">
        <v>76</v>
      </c>
      <c r="M633">
        <f t="shared" si="55"/>
        <v>2920.3333333333335</v>
      </c>
      <c r="N633">
        <f t="shared" si="54"/>
        <v>2812.1453051421563</v>
      </c>
      <c r="O633">
        <f t="shared" si="51"/>
        <v>42</v>
      </c>
      <c r="P633" s="6">
        <f t="shared" si="52"/>
        <v>1.3884297520661157E-2</v>
      </c>
      <c r="Q633" s="6">
        <f t="shared" si="53"/>
        <v>7.0365188382758251E-2</v>
      </c>
    </row>
    <row r="634" spans="1:17" x14ac:dyDescent="0.25">
      <c r="A634" s="2">
        <v>633</v>
      </c>
      <c r="B634" s="2" t="s">
        <v>41</v>
      </c>
      <c r="C634" s="2" t="s">
        <v>42</v>
      </c>
      <c r="D634" s="2" t="s">
        <v>103</v>
      </c>
      <c r="E634" s="2">
        <v>9</v>
      </c>
      <c r="F634" s="2">
        <v>2023</v>
      </c>
      <c r="G634" s="8" t="s">
        <v>86</v>
      </c>
      <c r="H634" s="2">
        <v>2805</v>
      </c>
      <c r="I634" s="2">
        <v>2953</v>
      </c>
      <c r="J634" s="2">
        <v>-148</v>
      </c>
      <c r="K634" s="2">
        <v>5.3</v>
      </c>
      <c r="L634" s="2" t="s">
        <v>76</v>
      </c>
      <c r="M634">
        <f t="shared" si="55"/>
        <v>2979.3333333333335</v>
      </c>
      <c r="N634">
        <f t="shared" si="54"/>
        <v>2876.0017135995095</v>
      </c>
      <c r="O634">
        <f t="shared" si="51"/>
        <v>148</v>
      </c>
      <c r="P634" s="6">
        <f t="shared" si="52"/>
        <v>5.2762923351158647E-2</v>
      </c>
      <c r="Q634" s="6">
        <f t="shared" si="53"/>
        <v>2.5312553867917809E-2</v>
      </c>
    </row>
    <row r="635" spans="1:17" x14ac:dyDescent="0.25">
      <c r="A635" s="3">
        <v>634</v>
      </c>
      <c r="B635" s="3" t="s">
        <v>41</v>
      </c>
      <c r="C635" s="3" t="s">
        <v>42</v>
      </c>
      <c r="D635" s="3" t="s">
        <v>103</v>
      </c>
      <c r="E635" s="3">
        <v>10</v>
      </c>
      <c r="F635" s="3">
        <v>2023</v>
      </c>
      <c r="G635" s="9" t="s">
        <v>87</v>
      </c>
      <c r="H635" s="3">
        <v>2606</v>
      </c>
      <c r="I635" s="3">
        <v>2372</v>
      </c>
      <c r="J635" s="3">
        <v>234</v>
      </c>
      <c r="K635" s="3">
        <v>9</v>
      </c>
      <c r="L635" s="3" t="s">
        <v>83</v>
      </c>
      <c r="M635">
        <f t="shared" si="55"/>
        <v>2940.3333333333335</v>
      </c>
      <c r="N635">
        <f t="shared" si="54"/>
        <v>2854.7011995196563</v>
      </c>
      <c r="O635">
        <f t="shared" si="51"/>
        <v>234</v>
      </c>
      <c r="P635" s="6">
        <f t="shared" si="52"/>
        <v>8.9792785878741371E-2</v>
      </c>
      <c r="Q635" s="6">
        <f t="shared" si="53"/>
        <v>9.5434075026729182E-2</v>
      </c>
    </row>
    <row r="636" spans="1:17" x14ac:dyDescent="0.25">
      <c r="A636" s="2">
        <v>635</v>
      </c>
      <c r="B636" s="2" t="s">
        <v>41</v>
      </c>
      <c r="C636" s="2" t="s">
        <v>42</v>
      </c>
      <c r="D636" s="2" t="s">
        <v>103</v>
      </c>
      <c r="E636" s="2">
        <v>11</v>
      </c>
      <c r="F636" s="2">
        <v>2023</v>
      </c>
      <c r="G636" s="8" t="s">
        <v>88</v>
      </c>
      <c r="H636" s="2">
        <v>3081</v>
      </c>
      <c r="I636" s="2">
        <v>3113</v>
      </c>
      <c r="J636" s="2">
        <v>-32</v>
      </c>
      <c r="K636" s="2">
        <v>1</v>
      </c>
      <c r="L636" s="2" t="s">
        <v>78</v>
      </c>
      <c r="M636">
        <f t="shared" si="55"/>
        <v>2812</v>
      </c>
      <c r="N636">
        <f t="shared" si="54"/>
        <v>2780.0908396637592</v>
      </c>
      <c r="O636">
        <f t="shared" si="51"/>
        <v>32</v>
      </c>
      <c r="P636" s="6">
        <f t="shared" si="52"/>
        <v>1.03862382343395E-2</v>
      </c>
      <c r="Q636" s="6">
        <f t="shared" si="53"/>
        <v>9.7666069567101846E-2</v>
      </c>
    </row>
    <row r="637" spans="1:17" x14ac:dyDescent="0.25">
      <c r="A637" s="3">
        <v>636</v>
      </c>
      <c r="B637" s="3" t="s">
        <v>41</v>
      </c>
      <c r="C637" s="3" t="s">
        <v>42</v>
      </c>
      <c r="D637" s="3" t="s">
        <v>103</v>
      </c>
      <c r="E637" s="3">
        <v>12</v>
      </c>
      <c r="F637" s="3">
        <v>2023</v>
      </c>
      <c r="G637" s="9" t="s">
        <v>89</v>
      </c>
      <c r="H637" s="3">
        <v>3363</v>
      </c>
      <c r="I637" s="3">
        <v>3329</v>
      </c>
      <c r="J637" s="3">
        <v>34</v>
      </c>
      <c r="K637" s="3">
        <v>1</v>
      </c>
      <c r="L637" s="3" t="s">
        <v>83</v>
      </c>
      <c r="M637">
        <f t="shared" si="55"/>
        <v>2830.6666666666665</v>
      </c>
      <c r="N637">
        <f t="shared" si="54"/>
        <v>2870.3635877646311</v>
      </c>
      <c r="O637">
        <f t="shared" si="51"/>
        <v>34</v>
      </c>
      <c r="P637" s="6">
        <f t="shared" si="52"/>
        <v>1.0110020814748736E-2</v>
      </c>
      <c r="Q637" s="6">
        <f t="shared" si="53"/>
        <v>0.14648718770007996</v>
      </c>
    </row>
    <row r="638" spans="1:17" x14ac:dyDescent="0.25">
      <c r="A638" s="2">
        <v>637</v>
      </c>
      <c r="B638" s="2" t="s">
        <v>41</v>
      </c>
      <c r="C638" s="2" t="s">
        <v>42</v>
      </c>
      <c r="D638" s="2" t="s">
        <v>103</v>
      </c>
      <c r="E638" s="2">
        <v>1</v>
      </c>
      <c r="F638" s="2">
        <v>2024</v>
      </c>
      <c r="G638" s="8" t="s">
        <v>90</v>
      </c>
      <c r="H638" s="2">
        <v>2141</v>
      </c>
      <c r="I638" s="2">
        <v>2350</v>
      </c>
      <c r="J638" s="2">
        <v>-209</v>
      </c>
      <c r="K638" s="2">
        <v>9.8000000000000007</v>
      </c>
      <c r="L638" s="2" t="s">
        <v>83</v>
      </c>
      <c r="M638">
        <f t="shared" si="55"/>
        <v>3016.6666666666665</v>
      </c>
      <c r="N638">
        <f t="shared" si="54"/>
        <v>3018.1545114352416</v>
      </c>
      <c r="O638">
        <f t="shared" si="51"/>
        <v>209</v>
      </c>
      <c r="P638" s="6">
        <f t="shared" si="52"/>
        <v>9.7617935544138251E-2</v>
      </c>
      <c r="Q638" s="6">
        <f t="shared" si="53"/>
        <v>0.40969383999777748</v>
      </c>
    </row>
    <row r="639" spans="1:17" x14ac:dyDescent="0.25">
      <c r="A639" s="3">
        <v>638</v>
      </c>
      <c r="B639" s="3" t="s">
        <v>41</v>
      </c>
      <c r="C639" s="3" t="s">
        <v>42</v>
      </c>
      <c r="D639" s="3" t="s">
        <v>103</v>
      </c>
      <c r="E639" s="3">
        <v>2</v>
      </c>
      <c r="F639" s="3">
        <v>2024</v>
      </c>
      <c r="G639" s="9" t="s">
        <v>91</v>
      </c>
      <c r="H639" s="3">
        <v>2239</v>
      </c>
      <c r="I639" s="3">
        <v>2072</v>
      </c>
      <c r="J639" s="3">
        <v>167</v>
      </c>
      <c r="K639" s="3">
        <v>7.5</v>
      </c>
      <c r="L639" s="3" t="s">
        <v>78</v>
      </c>
      <c r="M639">
        <f t="shared" si="55"/>
        <v>2861.6666666666665</v>
      </c>
      <c r="N639">
        <f t="shared" si="54"/>
        <v>2755.008158004669</v>
      </c>
      <c r="O639">
        <f t="shared" si="51"/>
        <v>167</v>
      </c>
      <c r="P639" s="6">
        <f t="shared" si="52"/>
        <v>7.4586869138008036E-2</v>
      </c>
      <c r="Q639" s="6">
        <f t="shared" si="53"/>
        <v>0.23046367039065163</v>
      </c>
    </row>
    <row r="640" spans="1:17" x14ac:dyDescent="0.25">
      <c r="A640" s="2">
        <v>639</v>
      </c>
      <c r="B640" s="2" t="s">
        <v>41</v>
      </c>
      <c r="C640" s="2" t="s">
        <v>42</v>
      </c>
      <c r="D640" s="2" t="s">
        <v>103</v>
      </c>
      <c r="E640" s="2">
        <v>3</v>
      </c>
      <c r="F640" s="2">
        <v>2024</v>
      </c>
      <c r="G640" s="8" t="s">
        <v>92</v>
      </c>
      <c r="H640" s="2">
        <v>2462</v>
      </c>
      <c r="I640" s="2">
        <v>2607</v>
      </c>
      <c r="J640" s="2">
        <v>-145</v>
      </c>
      <c r="K640" s="2">
        <v>5.9</v>
      </c>
      <c r="L640" s="2" t="s">
        <v>76</v>
      </c>
      <c r="M640">
        <f t="shared" si="55"/>
        <v>2581</v>
      </c>
      <c r="N640">
        <f t="shared" si="54"/>
        <v>2600.205710603268</v>
      </c>
      <c r="O640">
        <f t="shared" si="51"/>
        <v>145</v>
      </c>
      <c r="P640" s="6">
        <f t="shared" si="52"/>
        <v>5.8895207148659624E-2</v>
      </c>
      <c r="Q640" s="6">
        <f t="shared" si="53"/>
        <v>5.6135544517980508E-2</v>
      </c>
    </row>
    <row r="641" spans="1:17" x14ac:dyDescent="0.25">
      <c r="A641" s="3">
        <v>640</v>
      </c>
      <c r="B641" s="3" t="s">
        <v>41</v>
      </c>
      <c r="C641" s="3" t="s">
        <v>42</v>
      </c>
      <c r="D641" s="3" t="s">
        <v>103</v>
      </c>
      <c r="E641" s="3">
        <v>4</v>
      </c>
      <c r="F641" s="3">
        <v>2024</v>
      </c>
      <c r="G641" s="9" t="s">
        <v>93</v>
      </c>
      <c r="H641" s="3">
        <v>2696</v>
      </c>
      <c r="I641" s="3">
        <v>2623</v>
      </c>
      <c r="J641" s="3">
        <v>73</v>
      </c>
      <c r="K641" s="3">
        <v>2.7</v>
      </c>
      <c r="L641" s="3" t="s">
        <v>78</v>
      </c>
      <c r="M641">
        <f t="shared" si="55"/>
        <v>2280.6666666666665</v>
      </c>
      <c r="N641">
        <f t="shared" si="54"/>
        <v>2558.7439974222875</v>
      </c>
      <c r="O641">
        <f t="shared" si="51"/>
        <v>73</v>
      </c>
      <c r="P641" s="6">
        <f t="shared" si="52"/>
        <v>2.7077151335311574E-2</v>
      </c>
      <c r="Q641" s="6">
        <f t="shared" si="53"/>
        <v>5.0910980184611453E-2</v>
      </c>
    </row>
    <row r="642" spans="1:17" x14ac:dyDescent="0.25">
      <c r="A642" s="2">
        <v>641</v>
      </c>
      <c r="B642" s="2" t="s">
        <v>41</v>
      </c>
      <c r="C642" s="2" t="s">
        <v>42</v>
      </c>
      <c r="D642" s="2" t="s">
        <v>103</v>
      </c>
      <c r="E642" s="2">
        <v>5</v>
      </c>
      <c r="F642" s="2">
        <v>2024</v>
      </c>
      <c r="G642" s="8" t="s">
        <v>94</v>
      </c>
      <c r="H642" s="2">
        <v>2591</v>
      </c>
      <c r="I642" s="2">
        <v>2595</v>
      </c>
      <c r="J642" s="2">
        <v>-4</v>
      </c>
      <c r="K642" s="2">
        <v>0.2</v>
      </c>
      <c r="L642" s="2" t="s">
        <v>83</v>
      </c>
      <c r="M642">
        <f t="shared" si="55"/>
        <v>2465.6666666666665</v>
      </c>
      <c r="N642">
        <f t="shared" si="54"/>
        <v>2599.920798195601</v>
      </c>
      <c r="O642">
        <f t="shared" si="51"/>
        <v>4</v>
      </c>
      <c r="P642" s="6">
        <f t="shared" si="52"/>
        <v>1.5438054805094559E-3</v>
      </c>
      <c r="Q642" s="6">
        <f t="shared" si="53"/>
        <v>3.4429942862219363E-3</v>
      </c>
    </row>
    <row r="643" spans="1:17" x14ac:dyDescent="0.25">
      <c r="A643" s="3">
        <v>642</v>
      </c>
      <c r="B643" s="3" t="s">
        <v>41</v>
      </c>
      <c r="C643" s="3" t="s">
        <v>42</v>
      </c>
      <c r="D643" s="3" t="s">
        <v>103</v>
      </c>
      <c r="E643" s="3">
        <v>6</v>
      </c>
      <c r="F643" s="3">
        <v>2024</v>
      </c>
      <c r="G643" s="9" t="s">
        <v>95</v>
      </c>
      <c r="H643" s="3">
        <v>2603</v>
      </c>
      <c r="I643" s="3">
        <v>2362</v>
      </c>
      <c r="J643" s="3">
        <v>241</v>
      </c>
      <c r="K643" s="3">
        <v>9.3000000000000007</v>
      </c>
      <c r="L643" s="3" t="s">
        <v>83</v>
      </c>
      <c r="M643">
        <f t="shared" si="55"/>
        <v>2583</v>
      </c>
      <c r="N643">
        <f t="shared" si="54"/>
        <v>2597.2445587369202</v>
      </c>
      <c r="O643">
        <f t="shared" ref="O643:O706" si="56">ABS(H643-I643)</f>
        <v>241</v>
      </c>
      <c r="P643" s="6">
        <f t="shared" ref="P643:P706" si="57">ABS(O643)/H643</f>
        <v>9.2585478294275839E-2</v>
      </c>
      <c r="Q643" s="6">
        <f t="shared" ref="Q643:Q706" si="58">ABS((H643-N643))/H643</f>
        <v>2.2110800088666056E-3</v>
      </c>
    </row>
    <row r="644" spans="1:17" x14ac:dyDescent="0.25">
      <c r="A644" s="2">
        <v>643</v>
      </c>
      <c r="B644" s="2" t="s">
        <v>41</v>
      </c>
      <c r="C644" s="2" t="s">
        <v>42</v>
      </c>
      <c r="D644" s="2" t="s">
        <v>103</v>
      </c>
      <c r="E644" s="2">
        <v>7</v>
      </c>
      <c r="F644" s="2">
        <v>2024</v>
      </c>
      <c r="G644" s="8" t="s">
        <v>96</v>
      </c>
      <c r="H644" s="2">
        <v>2757</v>
      </c>
      <c r="I644" s="2">
        <v>2742</v>
      </c>
      <c r="J644" s="2">
        <v>15</v>
      </c>
      <c r="K644" s="2">
        <v>0.5</v>
      </c>
      <c r="L644" s="2" t="s">
        <v>76</v>
      </c>
      <c r="M644">
        <f t="shared" si="55"/>
        <v>2630</v>
      </c>
      <c r="N644">
        <f t="shared" ref="N644:N707" si="59">0.3*H643+(0.7*N643)</f>
        <v>2598.9711911158438</v>
      </c>
      <c r="O644">
        <f t="shared" si="56"/>
        <v>15</v>
      </c>
      <c r="P644" s="6">
        <f t="shared" si="57"/>
        <v>5.4406964091403701E-3</v>
      </c>
      <c r="Q644" s="6">
        <f t="shared" si="58"/>
        <v>5.7319118202450565E-2</v>
      </c>
    </row>
    <row r="645" spans="1:17" x14ac:dyDescent="0.25">
      <c r="A645" s="3">
        <v>644</v>
      </c>
      <c r="B645" s="3" t="s">
        <v>41</v>
      </c>
      <c r="C645" s="3" t="s">
        <v>42</v>
      </c>
      <c r="D645" s="3" t="s">
        <v>103</v>
      </c>
      <c r="E645" s="3">
        <v>8</v>
      </c>
      <c r="F645" s="3">
        <v>2024</v>
      </c>
      <c r="G645" s="9" t="s">
        <v>97</v>
      </c>
      <c r="H645" s="3">
        <v>2557</v>
      </c>
      <c r="I645" s="3">
        <v>2758</v>
      </c>
      <c r="J645" s="3">
        <v>-201</v>
      </c>
      <c r="K645" s="3">
        <v>7.9</v>
      </c>
      <c r="L645" s="3" t="s">
        <v>78</v>
      </c>
      <c r="M645">
        <f t="shared" si="55"/>
        <v>2650.3333333333335</v>
      </c>
      <c r="N645">
        <f t="shared" si="59"/>
        <v>2646.3798337810904</v>
      </c>
      <c r="O645">
        <f t="shared" si="56"/>
        <v>201</v>
      </c>
      <c r="P645" s="6">
        <f t="shared" si="57"/>
        <v>7.8607743449354714E-2</v>
      </c>
      <c r="Q645" s="6">
        <f t="shared" si="58"/>
        <v>3.4954960414974728E-2</v>
      </c>
    </row>
    <row r="646" spans="1:17" x14ac:dyDescent="0.25">
      <c r="A646" s="2">
        <v>645</v>
      </c>
      <c r="B646" s="2" t="s">
        <v>41</v>
      </c>
      <c r="C646" s="2" t="s">
        <v>42</v>
      </c>
      <c r="D646" s="2" t="s">
        <v>103</v>
      </c>
      <c r="E646" s="2">
        <v>9</v>
      </c>
      <c r="F646" s="2">
        <v>2024</v>
      </c>
      <c r="G646" s="8" t="s">
        <v>98</v>
      </c>
      <c r="H646" s="2">
        <v>2550</v>
      </c>
      <c r="I646" s="2">
        <v>2607</v>
      </c>
      <c r="J646" s="2">
        <v>-57</v>
      </c>
      <c r="K646" s="2">
        <v>2.2000000000000002</v>
      </c>
      <c r="L646" s="2" t="s">
        <v>78</v>
      </c>
      <c r="M646">
        <f t="shared" ref="M646:M709" si="60">AVERAGE(H643:H645)</f>
        <v>2639</v>
      </c>
      <c r="N646">
        <f t="shared" si="59"/>
        <v>2619.5658836467633</v>
      </c>
      <c r="O646">
        <f t="shared" si="56"/>
        <v>57</v>
      </c>
      <c r="P646" s="6">
        <f t="shared" si="57"/>
        <v>2.2352941176470589E-2</v>
      </c>
      <c r="Q646" s="6">
        <f t="shared" si="58"/>
        <v>2.7280738685005204E-2</v>
      </c>
    </row>
    <row r="647" spans="1:17" x14ac:dyDescent="0.25">
      <c r="A647" s="3">
        <v>646</v>
      </c>
      <c r="B647" s="3" t="s">
        <v>41</v>
      </c>
      <c r="C647" s="3" t="s">
        <v>42</v>
      </c>
      <c r="D647" s="3" t="s">
        <v>103</v>
      </c>
      <c r="E647" s="3">
        <v>10</v>
      </c>
      <c r="F647" s="3">
        <v>2024</v>
      </c>
      <c r="G647" s="9" t="s">
        <v>99</v>
      </c>
      <c r="H647" s="3">
        <v>2850</v>
      </c>
      <c r="I647" s="3">
        <v>2916</v>
      </c>
      <c r="J647" s="3">
        <v>-66</v>
      </c>
      <c r="K647" s="3">
        <v>2.2999999999999998</v>
      </c>
      <c r="L647" s="3" t="s">
        <v>76</v>
      </c>
      <c r="M647">
        <f t="shared" si="60"/>
        <v>2621.3333333333335</v>
      </c>
      <c r="N647">
        <f t="shared" si="59"/>
        <v>2598.6961185527343</v>
      </c>
      <c r="O647">
        <f t="shared" si="56"/>
        <v>66</v>
      </c>
      <c r="P647" s="6">
        <f t="shared" si="57"/>
        <v>2.3157894736842106E-2</v>
      </c>
      <c r="Q647" s="6">
        <f t="shared" si="58"/>
        <v>8.8176800507812514E-2</v>
      </c>
    </row>
    <row r="648" spans="1:17" x14ac:dyDescent="0.25">
      <c r="A648" s="2">
        <v>647</v>
      </c>
      <c r="B648" s="2" t="s">
        <v>41</v>
      </c>
      <c r="C648" s="2" t="s">
        <v>42</v>
      </c>
      <c r="D648" s="2" t="s">
        <v>103</v>
      </c>
      <c r="E648" s="2">
        <v>11</v>
      </c>
      <c r="F648" s="2">
        <v>2024</v>
      </c>
      <c r="G648" s="8" t="s">
        <v>100</v>
      </c>
      <c r="H648" s="2">
        <v>3399</v>
      </c>
      <c r="I648" s="2">
        <v>3403</v>
      </c>
      <c r="J648" s="2">
        <v>-4</v>
      </c>
      <c r="K648" s="2">
        <v>0.1</v>
      </c>
      <c r="L648" s="2" t="s">
        <v>83</v>
      </c>
      <c r="M648">
        <f t="shared" si="60"/>
        <v>2652.3333333333335</v>
      </c>
      <c r="N648">
        <f t="shared" si="59"/>
        <v>2674.087282986914</v>
      </c>
      <c r="O648">
        <f t="shared" si="56"/>
        <v>4</v>
      </c>
      <c r="P648" s="6">
        <f t="shared" si="57"/>
        <v>1.1768167107972932E-3</v>
      </c>
      <c r="Q648" s="6">
        <f t="shared" si="58"/>
        <v>0.21327234981261722</v>
      </c>
    </row>
    <row r="649" spans="1:17" x14ac:dyDescent="0.25">
      <c r="A649" s="3">
        <v>648</v>
      </c>
      <c r="B649" s="3" t="s">
        <v>41</v>
      </c>
      <c r="C649" s="3" t="s">
        <v>42</v>
      </c>
      <c r="D649" s="3" t="s">
        <v>103</v>
      </c>
      <c r="E649" s="3">
        <v>12</v>
      </c>
      <c r="F649" s="3">
        <v>2024</v>
      </c>
      <c r="G649" s="9" t="s">
        <v>101</v>
      </c>
      <c r="H649" s="3">
        <v>3484</v>
      </c>
      <c r="I649" s="3">
        <v>3629</v>
      </c>
      <c r="J649" s="3">
        <v>-145</v>
      </c>
      <c r="K649" s="3">
        <v>4.2</v>
      </c>
      <c r="L649" s="3" t="s">
        <v>76</v>
      </c>
      <c r="M649">
        <f t="shared" si="60"/>
        <v>2933</v>
      </c>
      <c r="N649">
        <f t="shared" si="59"/>
        <v>2891.5610980908396</v>
      </c>
      <c r="O649">
        <f t="shared" si="56"/>
        <v>145</v>
      </c>
      <c r="P649" s="6">
        <f t="shared" si="57"/>
        <v>4.1618828932261771E-2</v>
      </c>
      <c r="Q649" s="6">
        <f t="shared" si="58"/>
        <v>0.1700456090439611</v>
      </c>
    </row>
    <row r="650" spans="1:17" x14ac:dyDescent="0.25">
      <c r="A650" s="2">
        <v>649</v>
      </c>
      <c r="B650" s="2" t="s">
        <v>45</v>
      </c>
      <c r="C650" s="2" t="s">
        <v>46</v>
      </c>
      <c r="D650" s="2" t="s">
        <v>74</v>
      </c>
      <c r="E650" s="2">
        <v>1</v>
      </c>
      <c r="F650" s="2">
        <v>2023</v>
      </c>
      <c r="G650" s="8" t="s">
        <v>75</v>
      </c>
      <c r="H650" s="2">
        <v>2957</v>
      </c>
      <c r="I650" s="2">
        <v>2671</v>
      </c>
      <c r="J650" s="2">
        <v>286</v>
      </c>
      <c r="K650" s="2">
        <v>9.6999999999999993</v>
      </c>
      <c r="L650" s="2" t="s">
        <v>76</v>
      </c>
      <c r="M650">
        <f t="shared" si="60"/>
        <v>3244.3333333333335</v>
      </c>
      <c r="N650">
        <f t="shared" si="59"/>
        <v>3069.2927686635876</v>
      </c>
      <c r="O650">
        <f t="shared" si="56"/>
        <v>286</v>
      </c>
      <c r="P650" s="6">
        <f t="shared" si="57"/>
        <v>9.6719648292188029E-2</v>
      </c>
      <c r="Q650" s="6">
        <f t="shared" si="58"/>
        <v>3.7975234583560231E-2</v>
      </c>
    </row>
    <row r="651" spans="1:17" x14ac:dyDescent="0.25">
      <c r="A651" s="3">
        <v>650</v>
      </c>
      <c r="B651" s="3" t="s">
        <v>45</v>
      </c>
      <c r="C651" s="3" t="s">
        <v>46</v>
      </c>
      <c r="D651" s="3" t="s">
        <v>74</v>
      </c>
      <c r="E651" s="3">
        <v>2</v>
      </c>
      <c r="F651" s="3">
        <v>2023</v>
      </c>
      <c r="G651" s="9" t="s">
        <v>77</v>
      </c>
      <c r="H651" s="3">
        <v>2989</v>
      </c>
      <c r="I651" s="3">
        <v>3275</v>
      </c>
      <c r="J651" s="3">
        <v>-286</v>
      </c>
      <c r="K651" s="3">
        <v>9.6</v>
      </c>
      <c r="L651" s="3" t="s">
        <v>83</v>
      </c>
      <c r="M651">
        <f t="shared" si="60"/>
        <v>3280</v>
      </c>
      <c r="N651">
        <f t="shared" si="59"/>
        <v>3035.6049380645113</v>
      </c>
      <c r="O651">
        <f t="shared" si="56"/>
        <v>286</v>
      </c>
      <c r="P651" s="6">
        <f t="shared" si="57"/>
        <v>9.5684175309468045E-2</v>
      </c>
      <c r="Q651" s="6">
        <f t="shared" si="58"/>
        <v>1.5592150573606998E-2</v>
      </c>
    </row>
    <row r="652" spans="1:17" x14ac:dyDescent="0.25">
      <c r="A652" s="2">
        <v>651</v>
      </c>
      <c r="B652" s="2" t="s">
        <v>45</v>
      </c>
      <c r="C652" s="2" t="s">
        <v>46</v>
      </c>
      <c r="D652" s="2" t="s">
        <v>74</v>
      </c>
      <c r="E652" s="2">
        <v>3</v>
      </c>
      <c r="F652" s="2">
        <v>2023</v>
      </c>
      <c r="G652" s="8" t="s">
        <v>79</v>
      </c>
      <c r="H652" s="2">
        <v>3171</v>
      </c>
      <c r="I652" s="2">
        <v>3423</v>
      </c>
      <c r="J652" s="2">
        <v>-252</v>
      </c>
      <c r="K652" s="2">
        <v>7.9</v>
      </c>
      <c r="L652" s="2" t="s">
        <v>83</v>
      </c>
      <c r="M652">
        <f t="shared" si="60"/>
        <v>3143.3333333333335</v>
      </c>
      <c r="N652">
        <f t="shared" si="59"/>
        <v>3021.6234566451576</v>
      </c>
      <c r="O652">
        <f t="shared" si="56"/>
        <v>252</v>
      </c>
      <c r="P652" s="6">
        <f t="shared" si="57"/>
        <v>7.9470198675496692E-2</v>
      </c>
      <c r="Q652" s="6">
        <f t="shared" si="58"/>
        <v>4.7107077689953453E-2</v>
      </c>
    </row>
    <row r="653" spans="1:17" x14ac:dyDescent="0.25">
      <c r="A653" s="3">
        <v>652</v>
      </c>
      <c r="B653" s="3" t="s">
        <v>45</v>
      </c>
      <c r="C653" s="3" t="s">
        <v>46</v>
      </c>
      <c r="D653" s="3" t="s">
        <v>74</v>
      </c>
      <c r="E653" s="3">
        <v>4</v>
      </c>
      <c r="F653" s="3">
        <v>2023</v>
      </c>
      <c r="G653" s="9" t="s">
        <v>80</v>
      </c>
      <c r="H653" s="3">
        <v>3608</v>
      </c>
      <c r="I653" s="3">
        <v>3677</v>
      </c>
      <c r="J653" s="3">
        <v>-69</v>
      </c>
      <c r="K653" s="3">
        <v>1.9</v>
      </c>
      <c r="L653" s="3" t="s">
        <v>76</v>
      </c>
      <c r="M653">
        <f t="shared" si="60"/>
        <v>3039</v>
      </c>
      <c r="N653">
        <f t="shared" si="59"/>
        <v>3066.4364196516099</v>
      </c>
      <c r="O653">
        <f t="shared" si="56"/>
        <v>69</v>
      </c>
      <c r="P653" s="6">
        <f t="shared" si="57"/>
        <v>1.9124168514412416E-2</v>
      </c>
      <c r="Q653" s="6">
        <f t="shared" si="58"/>
        <v>0.15010077060653829</v>
      </c>
    </row>
    <row r="654" spans="1:17" x14ac:dyDescent="0.25">
      <c r="A654" s="2">
        <v>653</v>
      </c>
      <c r="B654" s="2" t="s">
        <v>45</v>
      </c>
      <c r="C654" s="2" t="s">
        <v>46</v>
      </c>
      <c r="D654" s="2" t="s">
        <v>74</v>
      </c>
      <c r="E654" s="2">
        <v>5</v>
      </c>
      <c r="F654" s="2">
        <v>2023</v>
      </c>
      <c r="G654" s="8" t="s">
        <v>81</v>
      </c>
      <c r="H654" s="2">
        <v>4086</v>
      </c>
      <c r="I654" s="2">
        <v>4317</v>
      </c>
      <c r="J654" s="2">
        <v>-231</v>
      </c>
      <c r="K654" s="2">
        <v>5.7</v>
      </c>
      <c r="L654" s="2" t="s">
        <v>83</v>
      </c>
      <c r="M654">
        <f t="shared" si="60"/>
        <v>3256</v>
      </c>
      <c r="N654">
        <f t="shared" si="59"/>
        <v>3228.9054937561268</v>
      </c>
      <c r="O654">
        <f t="shared" si="56"/>
        <v>231</v>
      </c>
      <c r="P654" s="6">
        <f t="shared" si="57"/>
        <v>5.6534508076358299E-2</v>
      </c>
      <c r="Q654" s="6">
        <f t="shared" si="58"/>
        <v>0.20976370686340509</v>
      </c>
    </row>
    <row r="655" spans="1:17" x14ac:dyDescent="0.25">
      <c r="A655" s="3">
        <v>654</v>
      </c>
      <c r="B655" s="3" t="s">
        <v>45</v>
      </c>
      <c r="C655" s="3" t="s">
        <v>46</v>
      </c>
      <c r="D655" s="3" t="s">
        <v>74</v>
      </c>
      <c r="E655" s="3">
        <v>6</v>
      </c>
      <c r="F655" s="3">
        <v>2023</v>
      </c>
      <c r="G655" s="9" t="s">
        <v>82</v>
      </c>
      <c r="H655" s="3">
        <v>3921</v>
      </c>
      <c r="I655" s="3">
        <v>4094</v>
      </c>
      <c r="J655" s="3">
        <v>-173</v>
      </c>
      <c r="K655" s="3">
        <v>4.4000000000000004</v>
      </c>
      <c r="L655" s="3" t="s">
        <v>83</v>
      </c>
      <c r="M655">
        <f t="shared" si="60"/>
        <v>3621.6666666666665</v>
      </c>
      <c r="N655">
        <f t="shared" si="59"/>
        <v>3486.0338456292884</v>
      </c>
      <c r="O655">
        <f t="shared" si="56"/>
        <v>173</v>
      </c>
      <c r="P655" s="6">
        <f t="shared" si="57"/>
        <v>4.4121397602652386E-2</v>
      </c>
      <c r="Q655" s="6">
        <f t="shared" si="58"/>
        <v>0.11093245457044416</v>
      </c>
    </row>
    <row r="656" spans="1:17" x14ac:dyDescent="0.25">
      <c r="A656" s="2">
        <v>655</v>
      </c>
      <c r="B656" s="2" t="s">
        <v>45</v>
      </c>
      <c r="C656" s="2" t="s">
        <v>46</v>
      </c>
      <c r="D656" s="2" t="s">
        <v>74</v>
      </c>
      <c r="E656" s="2">
        <v>7</v>
      </c>
      <c r="F656" s="2">
        <v>2023</v>
      </c>
      <c r="G656" s="8" t="s">
        <v>84</v>
      </c>
      <c r="H656" s="2">
        <v>3762</v>
      </c>
      <c r="I656" s="2">
        <v>3780</v>
      </c>
      <c r="J656" s="2">
        <v>-18</v>
      </c>
      <c r="K656" s="2">
        <v>0.5</v>
      </c>
      <c r="L656" s="2" t="s">
        <v>83</v>
      </c>
      <c r="M656">
        <f t="shared" si="60"/>
        <v>3871.6666666666665</v>
      </c>
      <c r="N656">
        <f t="shared" si="59"/>
        <v>3616.5236919405015</v>
      </c>
      <c r="O656">
        <f t="shared" si="56"/>
        <v>18</v>
      </c>
      <c r="P656" s="6">
        <f t="shared" si="57"/>
        <v>4.7846889952153108E-3</v>
      </c>
      <c r="Q656" s="6">
        <f t="shared" si="58"/>
        <v>3.8669938346490823E-2</v>
      </c>
    </row>
    <row r="657" spans="1:17" x14ac:dyDescent="0.25">
      <c r="A657" s="3">
        <v>656</v>
      </c>
      <c r="B657" s="3" t="s">
        <v>45</v>
      </c>
      <c r="C657" s="3" t="s">
        <v>46</v>
      </c>
      <c r="D657" s="3" t="s">
        <v>74</v>
      </c>
      <c r="E657" s="3">
        <v>8</v>
      </c>
      <c r="F657" s="3">
        <v>2023</v>
      </c>
      <c r="G657" s="9" t="s">
        <v>85</v>
      </c>
      <c r="H657" s="3">
        <v>3780</v>
      </c>
      <c r="I657" s="3">
        <v>4037</v>
      </c>
      <c r="J657" s="3">
        <v>-257</v>
      </c>
      <c r="K657" s="3">
        <v>6.8</v>
      </c>
      <c r="L657" s="3" t="s">
        <v>78</v>
      </c>
      <c r="M657">
        <f t="shared" si="60"/>
        <v>3923</v>
      </c>
      <c r="N657">
        <f t="shared" si="59"/>
        <v>3660.166584358351</v>
      </c>
      <c r="O657">
        <f t="shared" si="56"/>
        <v>257</v>
      </c>
      <c r="P657" s="6">
        <f t="shared" si="57"/>
        <v>6.7989417989417988E-2</v>
      </c>
      <c r="Q657" s="6">
        <f t="shared" si="58"/>
        <v>3.1701961809960058E-2</v>
      </c>
    </row>
    <row r="658" spans="1:17" x14ac:dyDescent="0.25">
      <c r="A658" s="2">
        <v>657</v>
      </c>
      <c r="B658" s="2" t="s">
        <v>45</v>
      </c>
      <c r="C658" s="2" t="s">
        <v>46</v>
      </c>
      <c r="D658" s="2" t="s">
        <v>74</v>
      </c>
      <c r="E658" s="2">
        <v>9</v>
      </c>
      <c r="F658" s="2">
        <v>2023</v>
      </c>
      <c r="G658" s="8" t="s">
        <v>86</v>
      </c>
      <c r="H658" s="2">
        <v>3770</v>
      </c>
      <c r="I658" s="2">
        <v>3575</v>
      </c>
      <c r="J658" s="2">
        <v>195</v>
      </c>
      <c r="K658" s="2">
        <v>5.2</v>
      </c>
      <c r="L658" s="2" t="s">
        <v>83</v>
      </c>
      <c r="M658">
        <f t="shared" si="60"/>
        <v>3821</v>
      </c>
      <c r="N658">
        <f t="shared" si="59"/>
        <v>3696.1166090508455</v>
      </c>
      <c r="O658">
        <f t="shared" si="56"/>
        <v>195</v>
      </c>
      <c r="P658" s="6">
        <f t="shared" si="57"/>
        <v>5.1724137931034482E-2</v>
      </c>
      <c r="Q658" s="6">
        <f t="shared" si="58"/>
        <v>1.9597716432136484E-2</v>
      </c>
    </row>
    <row r="659" spans="1:17" x14ac:dyDescent="0.25">
      <c r="A659" s="3">
        <v>658</v>
      </c>
      <c r="B659" s="3" t="s">
        <v>45</v>
      </c>
      <c r="C659" s="3" t="s">
        <v>46</v>
      </c>
      <c r="D659" s="3" t="s">
        <v>74</v>
      </c>
      <c r="E659" s="3">
        <v>10</v>
      </c>
      <c r="F659" s="3">
        <v>2023</v>
      </c>
      <c r="G659" s="9" t="s">
        <v>87</v>
      </c>
      <c r="H659" s="3">
        <v>4264</v>
      </c>
      <c r="I659" s="3">
        <v>3931</v>
      </c>
      <c r="J659" s="3">
        <v>333</v>
      </c>
      <c r="K659" s="3">
        <v>7.8</v>
      </c>
      <c r="L659" s="3" t="s">
        <v>78</v>
      </c>
      <c r="M659">
        <f t="shared" si="60"/>
        <v>3770.6666666666665</v>
      </c>
      <c r="N659">
        <f t="shared" si="59"/>
        <v>3718.2816263355917</v>
      </c>
      <c r="O659">
        <f t="shared" si="56"/>
        <v>333</v>
      </c>
      <c r="P659" s="6">
        <f t="shared" si="57"/>
        <v>7.8095684803001872E-2</v>
      </c>
      <c r="Q659" s="6">
        <f t="shared" si="58"/>
        <v>0.12798273303574303</v>
      </c>
    </row>
    <row r="660" spans="1:17" x14ac:dyDescent="0.25">
      <c r="A660" s="2">
        <v>659</v>
      </c>
      <c r="B660" s="2" t="s">
        <v>45</v>
      </c>
      <c r="C660" s="2" t="s">
        <v>46</v>
      </c>
      <c r="D660" s="2" t="s">
        <v>74</v>
      </c>
      <c r="E660" s="2">
        <v>11</v>
      </c>
      <c r="F660" s="2">
        <v>2023</v>
      </c>
      <c r="G660" s="8" t="s">
        <v>88</v>
      </c>
      <c r="H660" s="2">
        <v>4313</v>
      </c>
      <c r="I660" s="2">
        <v>4242</v>
      </c>
      <c r="J660" s="2">
        <v>71</v>
      </c>
      <c r="K660" s="2">
        <v>1.6</v>
      </c>
      <c r="L660" s="2" t="s">
        <v>76</v>
      </c>
      <c r="M660">
        <f t="shared" si="60"/>
        <v>3938</v>
      </c>
      <c r="N660">
        <f t="shared" si="59"/>
        <v>3881.9971384349137</v>
      </c>
      <c r="O660">
        <f t="shared" si="56"/>
        <v>71</v>
      </c>
      <c r="P660" s="6">
        <f t="shared" si="57"/>
        <v>1.6461859494551357E-2</v>
      </c>
      <c r="Q660" s="6">
        <f t="shared" si="58"/>
        <v>9.99311063216059E-2</v>
      </c>
    </row>
    <row r="661" spans="1:17" x14ac:dyDescent="0.25">
      <c r="A661" s="3">
        <v>660</v>
      </c>
      <c r="B661" s="3" t="s">
        <v>45</v>
      </c>
      <c r="C661" s="3" t="s">
        <v>46</v>
      </c>
      <c r="D661" s="3" t="s">
        <v>74</v>
      </c>
      <c r="E661" s="3">
        <v>12</v>
      </c>
      <c r="F661" s="3">
        <v>2023</v>
      </c>
      <c r="G661" s="9" t="s">
        <v>89</v>
      </c>
      <c r="H661" s="3">
        <v>4758</v>
      </c>
      <c r="I661" s="3">
        <v>4672</v>
      </c>
      <c r="J661" s="3">
        <v>86</v>
      </c>
      <c r="K661" s="3">
        <v>1.8</v>
      </c>
      <c r="L661" s="3" t="s">
        <v>83</v>
      </c>
      <c r="M661">
        <f t="shared" si="60"/>
        <v>4115.666666666667</v>
      </c>
      <c r="N661">
        <f t="shared" si="59"/>
        <v>4011.2979969044391</v>
      </c>
      <c r="O661">
        <f t="shared" si="56"/>
        <v>86</v>
      </c>
      <c r="P661" s="6">
        <f t="shared" si="57"/>
        <v>1.8074821353509879E-2</v>
      </c>
      <c r="Q661" s="6">
        <f t="shared" si="58"/>
        <v>0.15693610825884005</v>
      </c>
    </row>
    <row r="662" spans="1:17" x14ac:dyDescent="0.25">
      <c r="A662" s="2">
        <v>661</v>
      </c>
      <c r="B662" s="2" t="s">
        <v>45</v>
      </c>
      <c r="C662" s="2" t="s">
        <v>46</v>
      </c>
      <c r="D662" s="2" t="s">
        <v>74</v>
      </c>
      <c r="E662" s="2">
        <v>1</v>
      </c>
      <c r="F662" s="2">
        <v>2024</v>
      </c>
      <c r="G662" s="8" t="s">
        <v>90</v>
      </c>
      <c r="H662" s="2">
        <v>3275</v>
      </c>
      <c r="I662" s="2">
        <v>3519</v>
      </c>
      <c r="J662" s="2">
        <v>-244</v>
      </c>
      <c r="K662" s="2">
        <v>7.5</v>
      </c>
      <c r="L662" s="2" t="s">
        <v>83</v>
      </c>
      <c r="M662">
        <f t="shared" si="60"/>
        <v>4445</v>
      </c>
      <c r="N662">
        <f t="shared" si="59"/>
        <v>4235.3085978331073</v>
      </c>
      <c r="O662">
        <f t="shared" si="56"/>
        <v>244</v>
      </c>
      <c r="P662" s="6">
        <f t="shared" si="57"/>
        <v>7.4503816793893132E-2</v>
      </c>
      <c r="Q662" s="6">
        <f t="shared" si="58"/>
        <v>0.29322399933835341</v>
      </c>
    </row>
    <row r="663" spans="1:17" x14ac:dyDescent="0.25">
      <c r="A663" s="3">
        <v>662</v>
      </c>
      <c r="B663" s="3" t="s">
        <v>45</v>
      </c>
      <c r="C663" s="3" t="s">
        <v>46</v>
      </c>
      <c r="D663" s="3" t="s">
        <v>74</v>
      </c>
      <c r="E663" s="3">
        <v>2</v>
      </c>
      <c r="F663" s="3">
        <v>2024</v>
      </c>
      <c r="G663" s="9" t="s">
        <v>91</v>
      </c>
      <c r="H663" s="3">
        <v>3026</v>
      </c>
      <c r="I663" s="3">
        <v>3150</v>
      </c>
      <c r="J663" s="3">
        <v>-124</v>
      </c>
      <c r="K663" s="3">
        <v>4.0999999999999996</v>
      </c>
      <c r="L663" s="3" t="s">
        <v>83</v>
      </c>
      <c r="M663">
        <f t="shared" si="60"/>
        <v>4115.333333333333</v>
      </c>
      <c r="N663">
        <f t="shared" si="59"/>
        <v>3947.216018483175</v>
      </c>
      <c r="O663">
        <f t="shared" si="56"/>
        <v>124</v>
      </c>
      <c r="P663" s="6">
        <f t="shared" si="57"/>
        <v>4.0978189028420355E-2</v>
      </c>
      <c r="Q663" s="6">
        <f t="shared" si="58"/>
        <v>0.30443358178558327</v>
      </c>
    </row>
    <row r="664" spans="1:17" x14ac:dyDescent="0.25">
      <c r="A664" s="2">
        <v>663</v>
      </c>
      <c r="B664" s="2" t="s">
        <v>45</v>
      </c>
      <c r="C664" s="2" t="s">
        <v>46</v>
      </c>
      <c r="D664" s="2" t="s">
        <v>74</v>
      </c>
      <c r="E664" s="2">
        <v>3</v>
      </c>
      <c r="F664" s="2">
        <v>2024</v>
      </c>
      <c r="G664" s="8" t="s">
        <v>92</v>
      </c>
      <c r="H664" s="2">
        <v>3091</v>
      </c>
      <c r="I664" s="2">
        <v>2982</v>
      </c>
      <c r="J664" s="2">
        <v>109</v>
      </c>
      <c r="K664" s="2">
        <v>3.5</v>
      </c>
      <c r="L664" s="2" t="s">
        <v>83</v>
      </c>
      <c r="M664">
        <f t="shared" si="60"/>
        <v>3686.3333333333335</v>
      </c>
      <c r="N664">
        <f t="shared" si="59"/>
        <v>3670.8512129382225</v>
      </c>
      <c r="O664">
        <f t="shared" si="56"/>
        <v>109</v>
      </c>
      <c r="P664" s="6">
        <f t="shared" si="57"/>
        <v>3.5263668715626008E-2</v>
      </c>
      <c r="Q664" s="6">
        <f t="shared" si="58"/>
        <v>0.18759340437988434</v>
      </c>
    </row>
    <row r="665" spans="1:17" x14ac:dyDescent="0.25">
      <c r="A665" s="3">
        <v>664</v>
      </c>
      <c r="B665" s="3" t="s">
        <v>45</v>
      </c>
      <c r="C665" s="3" t="s">
        <v>46</v>
      </c>
      <c r="D665" s="3" t="s">
        <v>74</v>
      </c>
      <c r="E665" s="3">
        <v>4</v>
      </c>
      <c r="F665" s="3">
        <v>2024</v>
      </c>
      <c r="G665" s="9" t="s">
        <v>93</v>
      </c>
      <c r="H665" s="3">
        <v>3481</v>
      </c>
      <c r="I665" s="3">
        <v>3395</v>
      </c>
      <c r="J665" s="3">
        <v>86</v>
      </c>
      <c r="K665" s="3">
        <v>2.5</v>
      </c>
      <c r="L665" s="3" t="s">
        <v>78</v>
      </c>
      <c r="M665">
        <f t="shared" si="60"/>
        <v>3130.6666666666665</v>
      </c>
      <c r="N665">
        <f t="shared" si="59"/>
        <v>3496.8958490567557</v>
      </c>
      <c r="O665">
        <f t="shared" si="56"/>
        <v>86</v>
      </c>
      <c r="P665" s="6">
        <f t="shared" si="57"/>
        <v>2.470554438379776E-2</v>
      </c>
      <c r="Q665" s="6">
        <f t="shared" si="58"/>
        <v>4.5664605161607735E-3</v>
      </c>
    </row>
    <row r="666" spans="1:17" x14ac:dyDescent="0.25">
      <c r="A666" s="2">
        <v>665</v>
      </c>
      <c r="B666" s="2" t="s">
        <v>45</v>
      </c>
      <c r="C666" s="2" t="s">
        <v>46</v>
      </c>
      <c r="D666" s="2" t="s">
        <v>74</v>
      </c>
      <c r="E666" s="2">
        <v>5</v>
      </c>
      <c r="F666" s="2">
        <v>2024</v>
      </c>
      <c r="G666" s="8" t="s">
        <v>94</v>
      </c>
      <c r="H666" s="2">
        <v>3639</v>
      </c>
      <c r="I666" s="2">
        <v>3663</v>
      </c>
      <c r="J666" s="2">
        <v>-24</v>
      </c>
      <c r="K666" s="2">
        <v>0.7</v>
      </c>
      <c r="L666" s="2" t="s">
        <v>83</v>
      </c>
      <c r="M666">
        <f t="shared" si="60"/>
        <v>3199.3333333333335</v>
      </c>
      <c r="N666">
        <f t="shared" si="59"/>
        <v>3492.1270943397285</v>
      </c>
      <c r="O666">
        <f t="shared" si="56"/>
        <v>24</v>
      </c>
      <c r="P666" s="6">
        <f t="shared" si="57"/>
        <v>6.5952184666117067E-3</v>
      </c>
      <c r="Q666" s="6">
        <f t="shared" si="58"/>
        <v>4.0360787485647566E-2</v>
      </c>
    </row>
    <row r="667" spans="1:17" x14ac:dyDescent="0.25">
      <c r="A667" s="3">
        <v>666</v>
      </c>
      <c r="B667" s="3" t="s">
        <v>45</v>
      </c>
      <c r="C667" s="3" t="s">
        <v>46</v>
      </c>
      <c r="D667" s="3" t="s">
        <v>74</v>
      </c>
      <c r="E667" s="3">
        <v>6</v>
      </c>
      <c r="F667" s="3">
        <v>2024</v>
      </c>
      <c r="G667" s="9" t="s">
        <v>95</v>
      </c>
      <c r="H667" s="3">
        <v>3715</v>
      </c>
      <c r="I667" s="3">
        <v>3917</v>
      </c>
      <c r="J667" s="3">
        <v>-202</v>
      </c>
      <c r="K667" s="3">
        <v>5.4</v>
      </c>
      <c r="L667" s="3" t="s">
        <v>83</v>
      </c>
      <c r="M667">
        <f t="shared" si="60"/>
        <v>3403.6666666666665</v>
      </c>
      <c r="N667">
        <f t="shared" si="59"/>
        <v>3536.1889660378101</v>
      </c>
      <c r="O667">
        <f t="shared" si="56"/>
        <v>202</v>
      </c>
      <c r="P667" s="6">
        <f t="shared" si="57"/>
        <v>5.4374158815612382E-2</v>
      </c>
      <c r="Q667" s="6">
        <f t="shared" si="58"/>
        <v>4.8132176032890946E-2</v>
      </c>
    </row>
    <row r="668" spans="1:17" x14ac:dyDescent="0.25">
      <c r="A668" s="2">
        <v>667</v>
      </c>
      <c r="B668" s="2" t="s">
        <v>45</v>
      </c>
      <c r="C668" s="2" t="s">
        <v>46</v>
      </c>
      <c r="D668" s="2" t="s">
        <v>74</v>
      </c>
      <c r="E668" s="2">
        <v>7</v>
      </c>
      <c r="F668" s="2">
        <v>2024</v>
      </c>
      <c r="G668" s="8" t="s">
        <v>96</v>
      </c>
      <c r="H668" s="2">
        <v>3943</v>
      </c>
      <c r="I668" s="2">
        <v>4182</v>
      </c>
      <c r="J668" s="2">
        <v>-239</v>
      </c>
      <c r="K668" s="2">
        <v>6.1</v>
      </c>
      <c r="L668" s="2" t="s">
        <v>76</v>
      </c>
      <c r="M668">
        <f t="shared" si="60"/>
        <v>3611.6666666666665</v>
      </c>
      <c r="N668">
        <f t="shared" si="59"/>
        <v>3589.832276226467</v>
      </c>
      <c r="O668">
        <f t="shared" si="56"/>
        <v>239</v>
      </c>
      <c r="P668" s="6">
        <f t="shared" si="57"/>
        <v>6.061374587877251E-2</v>
      </c>
      <c r="Q668" s="6">
        <f t="shared" si="58"/>
        <v>8.9568278917964234E-2</v>
      </c>
    </row>
    <row r="669" spans="1:17" x14ac:dyDescent="0.25">
      <c r="A669" s="3">
        <v>668</v>
      </c>
      <c r="B669" s="3" t="s">
        <v>45</v>
      </c>
      <c r="C669" s="3" t="s">
        <v>46</v>
      </c>
      <c r="D669" s="3" t="s">
        <v>74</v>
      </c>
      <c r="E669" s="3">
        <v>8</v>
      </c>
      <c r="F669" s="3">
        <v>2024</v>
      </c>
      <c r="G669" s="9" t="s">
        <v>97</v>
      </c>
      <c r="H669" s="3">
        <v>3772</v>
      </c>
      <c r="I669" s="3">
        <v>3539</v>
      </c>
      <c r="J669" s="3">
        <v>233</v>
      </c>
      <c r="K669" s="3">
        <v>6.2</v>
      </c>
      <c r="L669" s="3" t="s">
        <v>78</v>
      </c>
      <c r="M669">
        <f t="shared" si="60"/>
        <v>3765.6666666666665</v>
      </c>
      <c r="N669">
        <f t="shared" si="59"/>
        <v>3695.7825933585264</v>
      </c>
      <c r="O669">
        <f t="shared" si="56"/>
        <v>233</v>
      </c>
      <c r="P669" s="6">
        <f t="shared" si="57"/>
        <v>6.1770943796394487E-2</v>
      </c>
      <c r="Q669" s="6">
        <f t="shared" si="58"/>
        <v>2.0206099321705633E-2</v>
      </c>
    </row>
    <row r="670" spans="1:17" x14ac:dyDescent="0.25">
      <c r="A670" s="2">
        <v>669</v>
      </c>
      <c r="B670" s="2" t="s">
        <v>45</v>
      </c>
      <c r="C670" s="2" t="s">
        <v>46</v>
      </c>
      <c r="D670" s="2" t="s">
        <v>74</v>
      </c>
      <c r="E670" s="2">
        <v>9</v>
      </c>
      <c r="F670" s="2">
        <v>2024</v>
      </c>
      <c r="G670" s="8" t="s">
        <v>98</v>
      </c>
      <c r="H670" s="2">
        <v>3314</v>
      </c>
      <c r="I670" s="2">
        <v>3180</v>
      </c>
      <c r="J670" s="2">
        <v>134</v>
      </c>
      <c r="K670" s="2">
        <v>4</v>
      </c>
      <c r="L670" s="2" t="s">
        <v>76</v>
      </c>
      <c r="M670">
        <f t="shared" si="60"/>
        <v>3810</v>
      </c>
      <c r="N670">
        <f t="shared" si="59"/>
        <v>3718.6478153509684</v>
      </c>
      <c r="O670">
        <f t="shared" si="56"/>
        <v>134</v>
      </c>
      <c r="P670" s="6">
        <f t="shared" si="57"/>
        <v>4.0434520217260107E-2</v>
      </c>
      <c r="Q670" s="6">
        <f t="shared" si="58"/>
        <v>0.12210253933342437</v>
      </c>
    </row>
    <row r="671" spans="1:17" x14ac:dyDescent="0.25">
      <c r="A671" s="3">
        <v>670</v>
      </c>
      <c r="B671" s="3" t="s">
        <v>45</v>
      </c>
      <c r="C671" s="3" t="s">
        <v>46</v>
      </c>
      <c r="D671" s="3" t="s">
        <v>74</v>
      </c>
      <c r="E671" s="3">
        <v>10</v>
      </c>
      <c r="F671" s="3">
        <v>2024</v>
      </c>
      <c r="G671" s="9" t="s">
        <v>99</v>
      </c>
      <c r="H671" s="3">
        <v>4100</v>
      </c>
      <c r="I671" s="3">
        <v>4268</v>
      </c>
      <c r="J671" s="3">
        <v>-168</v>
      </c>
      <c r="K671" s="3">
        <v>4.0999999999999996</v>
      </c>
      <c r="L671" s="3" t="s">
        <v>83</v>
      </c>
      <c r="M671">
        <f t="shared" si="60"/>
        <v>3676.3333333333335</v>
      </c>
      <c r="N671">
        <f t="shared" si="59"/>
        <v>3597.2534707456775</v>
      </c>
      <c r="O671">
        <f t="shared" si="56"/>
        <v>168</v>
      </c>
      <c r="P671" s="6">
        <f t="shared" si="57"/>
        <v>4.0975609756097563E-2</v>
      </c>
      <c r="Q671" s="6">
        <f t="shared" si="58"/>
        <v>0.12262110469617621</v>
      </c>
    </row>
    <row r="672" spans="1:17" x14ac:dyDescent="0.25">
      <c r="A672" s="2">
        <v>671</v>
      </c>
      <c r="B672" s="2" t="s">
        <v>45</v>
      </c>
      <c r="C672" s="2" t="s">
        <v>46</v>
      </c>
      <c r="D672" s="2" t="s">
        <v>74</v>
      </c>
      <c r="E672" s="2">
        <v>11</v>
      </c>
      <c r="F672" s="2">
        <v>2024</v>
      </c>
      <c r="G672" s="8" t="s">
        <v>100</v>
      </c>
      <c r="H672" s="2">
        <v>4590</v>
      </c>
      <c r="I672" s="2">
        <v>4422</v>
      </c>
      <c r="J672" s="2">
        <v>168</v>
      </c>
      <c r="K672" s="2">
        <v>3.7</v>
      </c>
      <c r="L672" s="2" t="s">
        <v>76</v>
      </c>
      <c r="M672">
        <f t="shared" si="60"/>
        <v>3728.6666666666665</v>
      </c>
      <c r="N672">
        <f t="shared" si="59"/>
        <v>3748.077429521974</v>
      </c>
      <c r="O672">
        <f t="shared" si="56"/>
        <v>168</v>
      </c>
      <c r="P672" s="6">
        <f t="shared" si="57"/>
        <v>3.6601307189542485E-2</v>
      </c>
      <c r="Q672" s="6">
        <f t="shared" si="58"/>
        <v>0.18342539661830634</v>
      </c>
    </row>
    <row r="673" spans="1:17" x14ac:dyDescent="0.25">
      <c r="A673" s="3">
        <v>672</v>
      </c>
      <c r="B673" s="3" t="s">
        <v>45</v>
      </c>
      <c r="C673" s="3" t="s">
        <v>46</v>
      </c>
      <c r="D673" s="3" t="s">
        <v>74</v>
      </c>
      <c r="E673" s="3">
        <v>12</v>
      </c>
      <c r="F673" s="3">
        <v>2024</v>
      </c>
      <c r="G673" s="9" t="s">
        <v>101</v>
      </c>
      <c r="H673" s="3">
        <v>4616</v>
      </c>
      <c r="I673" s="3">
        <v>5017</v>
      </c>
      <c r="J673" s="3">
        <v>-401</v>
      </c>
      <c r="K673" s="3">
        <v>8.6999999999999993</v>
      </c>
      <c r="L673" s="3" t="s">
        <v>83</v>
      </c>
      <c r="M673">
        <f t="shared" si="60"/>
        <v>4001.3333333333335</v>
      </c>
      <c r="N673">
        <f t="shared" si="59"/>
        <v>4000.6542006653817</v>
      </c>
      <c r="O673">
        <f t="shared" si="56"/>
        <v>401</v>
      </c>
      <c r="P673" s="6">
        <f t="shared" si="57"/>
        <v>8.6871750433275566E-2</v>
      </c>
      <c r="Q673" s="6">
        <f t="shared" si="58"/>
        <v>0.13330714890264694</v>
      </c>
    </row>
    <row r="674" spans="1:17" x14ac:dyDescent="0.25">
      <c r="A674" s="2">
        <v>673</v>
      </c>
      <c r="B674" s="2" t="s">
        <v>45</v>
      </c>
      <c r="C674" s="2" t="s">
        <v>46</v>
      </c>
      <c r="D674" s="2" t="s">
        <v>102</v>
      </c>
      <c r="E674" s="2">
        <v>1</v>
      </c>
      <c r="F674" s="2">
        <v>2023</v>
      </c>
      <c r="G674" s="8" t="s">
        <v>75</v>
      </c>
      <c r="H674" s="2">
        <v>2391</v>
      </c>
      <c r="I674" s="2">
        <v>2210</v>
      </c>
      <c r="J674" s="2">
        <v>181</v>
      </c>
      <c r="K674" s="2">
        <v>7.6</v>
      </c>
      <c r="L674" s="2" t="s">
        <v>83</v>
      </c>
      <c r="M674">
        <f t="shared" si="60"/>
        <v>4435.333333333333</v>
      </c>
      <c r="N674">
        <f t="shared" si="59"/>
        <v>4185.2579404657672</v>
      </c>
      <c r="O674">
        <f t="shared" si="56"/>
        <v>181</v>
      </c>
      <c r="P674" s="6">
        <f t="shared" si="57"/>
        <v>7.570054370556252E-2</v>
      </c>
      <c r="Q674" s="6">
        <f t="shared" si="58"/>
        <v>0.75042155602917904</v>
      </c>
    </row>
    <row r="675" spans="1:17" x14ac:dyDescent="0.25">
      <c r="A675" s="3">
        <v>674</v>
      </c>
      <c r="B675" s="3" t="s">
        <v>45</v>
      </c>
      <c r="C675" s="3" t="s">
        <v>46</v>
      </c>
      <c r="D675" s="3" t="s">
        <v>102</v>
      </c>
      <c r="E675" s="3">
        <v>2</v>
      </c>
      <c r="F675" s="3">
        <v>2023</v>
      </c>
      <c r="G675" s="9" t="s">
        <v>77</v>
      </c>
      <c r="H675" s="3">
        <v>2464</v>
      </c>
      <c r="I675" s="3">
        <v>2659</v>
      </c>
      <c r="J675" s="3">
        <v>-195</v>
      </c>
      <c r="K675" s="3">
        <v>7.9</v>
      </c>
      <c r="L675" s="3" t="s">
        <v>76</v>
      </c>
      <c r="M675">
        <f t="shared" si="60"/>
        <v>3865.6666666666665</v>
      </c>
      <c r="N675">
        <f t="shared" si="59"/>
        <v>3646.9805583260368</v>
      </c>
      <c r="O675">
        <f t="shared" si="56"/>
        <v>195</v>
      </c>
      <c r="P675" s="6">
        <f t="shared" si="57"/>
        <v>7.9139610389610385E-2</v>
      </c>
      <c r="Q675" s="6">
        <f t="shared" si="58"/>
        <v>0.48010574607387857</v>
      </c>
    </row>
    <row r="676" spans="1:17" x14ac:dyDescent="0.25">
      <c r="A676" s="2">
        <v>675</v>
      </c>
      <c r="B676" s="2" t="s">
        <v>45</v>
      </c>
      <c r="C676" s="2" t="s">
        <v>46</v>
      </c>
      <c r="D676" s="2" t="s">
        <v>102</v>
      </c>
      <c r="E676" s="2">
        <v>3</v>
      </c>
      <c r="F676" s="2">
        <v>2023</v>
      </c>
      <c r="G676" s="8" t="s">
        <v>79</v>
      </c>
      <c r="H676" s="2">
        <v>3042</v>
      </c>
      <c r="I676" s="2">
        <v>3318</v>
      </c>
      <c r="J676" s="2">
        <v>-276</v>
      </c>
      <c r="K676" s="2">
        <v>9.1</v>
      </c>
      <c r="L676" s="2" t="s">
        <v>78</v>
      </c>
      <c r="M676">
        <f t="shared" si="60"/>
        <v>3157</v>
      </c>
      <c r="N676">
        <f t="shared" si="59"/>
        <v>3292.0863908282254</v>
      </c>
      <c r="O676">
        <f t="shared" si="56"/>
        <v>276</v>
      </c>
      <c r="P676" s="6">
        <f t="shared" si="57"/>
        <v>9.0729783037475351E-2</v>
      </c>
      <c r="Q676" s="6">
        <f t="shared" si="58"/>
        <v>8.2211173842283158E-2</v>
      </c>
    </row>
    <row r="677" spans="1:17" x14ac:dyDescent="0.25">
      <c r="A677" s="3">
        <v>676</v>
      </c>
      <c r="B677" s="3" t="s">
        <v>45</v>
      </c>
      <c r="C677" s="3" t="s">
        <v>46</v>
      </c>
      <c r="D677" s="3" t="s">
        <v>102</v>
      </c>
      <c r="E677" s="3">
        <v>4</v>
      </c>
      <c r="F677" s="3">
        <v>2023</v>
      </c>
      <c r="G677" s="9" t="s">
        <v>80</v>
      </c>
      <c r="H677" s="3">
        <v>2825</v>
      </c>
      <c r="I677" s="3">
        <v>2705</v>
      </c>
      <c r="J677" s="3">
        <v>120</v>
      </c>
      <c r="K677" s="3">
        <v>4.2</v>
      </c>
      <c r="L677" s="3" t="s">
        <v>83</v>
      </c>
      <c r="M677">
        <f t="shared" si="60"/>
        <v>2632.3333333333335</v>
      </c>
      <c r="N677">
        <f t="shared" si="59"/>
        <v>3217.0604735797574</v>
      </c>
      <c r="O677">
        <f t="shared" si="56"/>
        <v>120</v>
      </c>
      <c r="P677" s="6">
        <f t="shared" si="57"/>
        <v>4.247787610619469E-2</v>
      </c>
      <c r="Q677" s="6">
        <f t="shared" si="58"/>
        <v>0.13878246852380793</v>
      </c>
    </row>
    <row r="678" spans="1:17" x14ac:dyDescent="0.25">
      <c r="A678" s="2">
        <v>677</v>
      </c>
      <c r="B678" s="2" t="s">
        <v>45</v>
      </c>
      <c r="C678" s="2" t="s">
        <v>46</v>
      </c>
      <c r="D678" s="2" t="s">
        <v>102</v>
      </c>
      <c r="E678" s="2">
        <v>5</v>
      </c>
      <c r="F678" s="2">
        <v>2023</v>
      </c>
      <c r="G678" s="8" t="s">
        <v>81</v>
      </c>
      <c r="H678" s="2">
        <v>2808</v>
      </c>
      <c r="I678" s="2">
        <v>3046</v>
      </c>
      <c r="J678" s="2">
        <v>-238</v>
      </c>
      <c r="K678" s="2">
        <v>8.5</v>
      </c>
      <c r="L678" s="2" t="s">
        <v>83</v>
      </c>
      <c r="M678">
        <f t="shared" si="60"/>
        <v>2777</v>
      </c>
      <c r="N678">
        <f t="shared" si="59"/>
        <v>3099.4423315058302</v>
      </c>
      <c r="O678">
        <f t="shared" si="56"/>
        <v>238</v>
      </c>
      <c r="P678" s="6">
        <f t="shared" si="57"/>
        <v>8.4757834757834757E-2</v>
      </c>
      <c r="Q678" s="6">
        <f t="shared" si="58"/>
        <v>0.10379000409751789</v>
      </c>
    </row>
    <row r="679" spans="1:17" x14ac:dyDescent="0.25">
      <c r="A679" s="3">
        <v>678</v>
      </c>
      <c r="B679" s="3" t="s">
        <v>45</v>
      </c>
      <c r="C679" s="3" t="s">
        <v>46</v>
      </c>
      <c r="D679" s="3" t="s">
        <v>102</v>
      </c>
      <c r="E679" s="3">
        <v>6</v>
      </c>
      <c r="F679" s="3">
        <v>2023</v>
      </c>
      <c r="G679" s="9" t="s">
        <v>82</v>
      </c>
      <c r="H679" s="3">
        <v>3081</v>
      </c>
      <c r="I679" s="3">
        <v>3068</v>
      </c>
      <c r="J679" s="3">
        <v>13</v>
      </c>
      <c r="K679" s="3">
        <v>0.4</v>
      </c>
      <c r="L679" s="3" t="s">
        <v>78</v>
      </c>
      <c r="M679">
        <f t="shared" si="60"/>
        <v>2891.6666666666665</v>
      </c>
      <c r="N679">
        <f t="shared" si="59"/>
        <v>3012.0096320540811</v>
      </c>
      <c r="O679">
        <f t="shared" si="56"/>
        <v>13</v>
      </c>
      <c r="P679" s="6">
        <f t="shared" si="57"/>
        <v>4.2194092827004216E-3</v>
      </c>
      <c r="Q679" s="6">
        <f t="shared" si="58"/>
        <v>2.2392199917532923E-2</v>
      </c>
    </row>
    <row r="680" spans="1:17" x14ac:dyDescent="0.25">
      <c r="A680" s="2">
        <v>679</v>
      </c>
      <c r="B680" s="2" t="s">
        <v>45</v>
      </c>
      <c r="C680" s="2" t="s">
        <v>46</v>
      </c>
      <c r="D680" s="2" t="s">
        <v>102</v>
      </c>
      <c r="E680" s="2">
        <v>7</v>
      </c>
      <c r="F680" s="2">
        <v>2023</v>
      </c>
      <c r="G680" s="8" t="s">
        <v>84</v>
      </c>
      <c r="H680" s="2">
        <v>3465</v>
      </c>
      <c r="I680" s="2">
        <v>3306</v>
      </c>
      <c r="J680" s="2">
        <v>159</v>
      </c>
      <c r="K680" s="2">
        <v>4.5999999999999996</v>
      </c>
      <c r="L680" s="2" t="s">
        <v>83</v>
      </c>
      <c r="M680">
        <f t="shared" si="60"/>
        <v>2904.6666666666665</v>
      </c>
      <c r="N680">
        <f t="shared" si="59"/>
        <v>3032.7067424378565</v>
      </c>
      <c r="O680">
        <f t="shared" si="56"/>
        <v>159</v>
      </c>
      <c r="P680" s="6">
        <f t="shared" si="57"/>
        <v>4.5887445887445887E-2</v>
      </c>
      <c r="Q680" s="6">
        <f t="shared" si="58"/>
        <v>0.1247599588923935</v>
      </c>
    </row>
    <row r="681" spans="1:17" x14ac:dyDescent="0.25">
      <c r="A681" s="3">
        <v>680</v>
      </c>
      <c r="B681" s="3" t="s">
        <v>45</v>
      </c>
      <c r="C681" s="3" t="s">
        <v>46</v>
      </c>
      <c r="D681" s="3" t="s">
        <v>102</v>
      </c>
      <c r="E681" s="3">
        <v>8</v>
      </c>
      <c r="F681" s="3">
        <v>2023</v>
      </c>
      <c r="G681" s="9" t="s">
        <v>85</v>
      </c>
      <c r="H681" s="3">
        <v>3270</v>
      </c>
      <c r="I681" s="3">
        <v>3032</v>
      </c>
      <c r="J681" s="3">
        <v>238</v>
      </c>
      <c r="K681" s="3">
        <v>7.3</v>
      </c>
      <c r="L681" s="3" t="s">
        <v>83</v>
      </c>
      <c r="M681">
        <f t="shared" si="60"/>
        <v>3118</v>
      </c>
      <c r="N681">
        <f t="shared" si="59"/>
        <v>3162.3947197064995</v>
      </c>
      <c r="O681">
        <f t="shared" si="56"/>
        <v>238</v>
      </c>
      <c r="P681" s="6">
        <f t="shared" si="57"/>
        <v>7.2782874617736998E-2</v>
      </c>
      <c r="Q681" s="6">
        <f t="shared" si="58"/>
        <v>3.2906813545413006E-2</v>
      </c>
    </row>
    <row r="682" spans="1:17" x14ac:dyDescent="0.25">
      <c r="A682" s="2">
        <v>681</v>
      </c>
      <c r="B682" s="2" t="s">
        <v>45</v>
      </c>
      <c r="C682" s="2" t="s">
        <v>46</v>
      </c>
      <c r="D682" s="2" t="s">
        <v>102</v>
      </c>
      <c r="E682" s="2">
        <v>9</v>
      </c>
      <c r="F682" s="2">
        <v>2023</v>
      </c>
      <c r="G682" s="8" t="s">
        <v>86</v>
      </c>
      <c r="H682" s="2">
        <v>3146</v>
      </c>
      <c r="I682" s="2">
        <v>2981</v>
      </c>
      <c r="J682" s="2">
        <v>165</v>
      </c>
      <c r="K682" s="2">
        <v>5.2</v>
      </c>
      <c r="L682" s="2" t="s">
        <v>78</v>
      </c>
      <c r="M682">
        <f t="shared" si="60"/>
        <v>3272</v>
      </c>
      <c r="N682">
        <f t="shared" si="59"/>
        <v>3194.6763037945493</v>
      </c>
      <c r="O682">
        <f t="shared" si="56"/>
        <v>165</v>
      </c>
      <c r="P682" s="6">
        <f t="shared" si="57"/>
        <v>5.2447552447552448E-2</v>
      </c>
      <c r="Q682" s="6">
        <f t="shared" si="58"/>
        <v>1.5472442401318917E-2</v>
      </c>
    </row>
    <row r="683" spans="1:17" x14ac:dyDescent="0.25">
      <c r="A683" s="3">
        <v>682</v>
      </c>
      <c r="B683" s="3" t="s">
        <v>45</v>
      </c>
      <c r="C683" s="3" t="s">
        <v>46</v>
      </c>
      <c r="D683" s="3" t="s">
        <v>102</v>
      </c>
      <c r="E683" s="3">
        <v>10</v>
      </c>
      <c r="F683" s="3">
        <v>2023</v>
      </c>
      <c r="G683" s="9" t="s">
        <v>87</v>
      </c>
      <c r="H683" s="3">
        <v>3405</v>
      </c>
      <c r="I683" s="3">
        <v>3426</v>
      </c>
      <c r="J683" s="3">
        <v>-21</v>
      </c>
      <c r="K683" s="3">
        <v>0.6</v>
      </c>
      <c r="L683" s="3" t="s">
        <v>83</v>
      </c>
      <c r="M683">
        <f t="shared" si="60"/>
        <v>3293.6666666666665</v>
      </c>
      <c r="N683">
        <f t="shared" si="59"/>
        <v>3180.0734126561847</v>
      </c>
      <c r="O683">
        <f t="shared" si="56"/>
        <v>21</v>
      </c>
      <c r="P683" s="6">
        <f t="shared" si="57"/>
        <v>6.1674008810572688E-3</v>
      </c>
      <c r="Q683" s="6">
        <f t="shared" si="58"/>
        <v>6.6057734902735768E-2</v>
      </c>
    </row>
    <row r="684" spans="1:17" x14ac:dyDescent="0.25">
      <c r="A684" s="2">
        <v>683</v>
      </c>
      <c r="B684" s="2" t="s">
        <v>45</v>
      </c>
      <c r="C684" s="2" t="s">
        <v>46</v>
      </c>
      <c r="D684" s="2" t="s">
        <v>102</v>
      </c>
      <c r="E684" s="2">
        <v>11</v>
      </c>
      <c r="F684" s="2">
        <v>2023</v>
      </c>
      <c r="G684" s="8" t="s">
        <v>88</v>
      </c>
      <c r="H684" s="2">
        <v>3480</v>
      </c>
      <c r="I684" s="2">
        <v>3201</v>
      </c>
      <c r="J684" s="2">
        <v>279</v>
      </c>
      <c r="K684" s="2">
        <v>8</v>
      </c>
      <c r="L684" s="2" t="s">
        <v>76</v>
      </c>
      <c r="M684">
        <f t="shared" si="60"/>
        <v>3273.6666666666665</v>
      </c>
      <c r="N684">
        <f t="shared" si="59"/>
        <v>3247.5513888593291</v>
      </c>
      <c r="O684">
        <f t="shared" si="56"/>
        <v>279</v>
      </c>
      <c r="P684" s="6">
        <f t="shared" si="57"/>
        <v>8.0172413793103442E-2</v>
      </c>
      <c r="Q684" s="6">
        <f t="shared" si="58"/>
        <v>6.6795577913985882E-2</v>
      </c>
    </row>
    <row r="685" spans="1:17" x14ac:dyDescent="0.25">
      <c r="A685" s="3">
        <v>684</v>
      </c>
      <c r="B685" s="3" t="s">
        <v>45</v>
      </c>
      <c r="C685" s="3" t="s">
        <v>46</v>
      </c>
      <c r="D685" s="3" t="s">
        <v>102</v>
      </c>
      <c r="E685" s="3">
        <v>12</v>
      </c>
      <c r="F685" s="3">
        <v>2023</v>
      </c>
      <c r="G685" s="9" t="s">
        <v>89</v>
      </c>
      <c r="H685" s="3">
        <v>4069</v>
      </c>
      <c r="I685" s="3">
        <v>3743</v>
      </c>
      <c r="J685" s="3">
        <v>326</v>
      </c>
      <c r="K685" s="3">
        <v>8</v>
      </c>
      <c r="L685" s="3" t="s">
        <v>78</v>
      </c>
      <c r="M685">
        <f t="shared" si="60"/>
        <v>3343.6666666666665</v>
      </c>
      <c r="N685">
        <f t="shared" si="59"/>
        <v>3317.2859722015301</v>
      </c>
      <c r="O685">
        <f t="shared" si="56"/>
        <v>326</v>
      </c>
      <c r="P685" s="6">
        <f t="shared" si="57"/>
        <v>8.0117965101990665E-2</v>
      </c>
      <c r="Q685" s="6">
        <f t="shared" si="58"/>
        <v>0.18474171241053575</v>
      </c>
    </row>
    <row r="686" spans="1:17" x14ac:dyDescent="0.25">
      <c r="A686" s="2">
        <v>685</v>
      </c>
      <c r="B686" s="2" t="s">
        <v>45</v>
      </c>
      <c r="C686" s="2" t="s">
        <v>46</v>
      </c>
      <c r="D686" s="2" t="s">
        <v>102</v>
      </c>
      <c r="E686" s="2">
        <v>1</v>
      </c>
      <c r="F686" s="2">
        <v>2024</v>
      </c>
      <c r="G686" s="8" t="s">
        <v>90</v>
      </c>
      <c r="H686" s="2">
        <v>2228</v>
      </c>
      <c r="I686" s="2">
        <v>2250</v>
      </c>
      <c r="J686" s="2">
        <v>-22</v>
      </c>
      <c r="K686" s="2">
        <v>1</v>
      </c>
      <c r="L686" s="2" t="s">
        <v>78</v>
      </c>
      <c r="M686">
        <f t="shared" si="60"/>
        <v>3651.3333333333335</v>
      </c>
      <c r="N686">
        <f t="shared" si="59"/>
        <v>3542.8001805410713</v>
      </c>
      <c r="O686">
        <f t="shared" si="56"/>
        <v>22</v>
      </c>
      <c r="P686" s="6">
        <f t="shared" si="57"/>
        <v>9.8743267504488325E-3</v>
      </c>
      <c r="Q686" s="6">
        <f t="shared" si="58"/>
        <v>0.59012575428234804</v>
      </c>
    </row>
    <row r="687" spans="1:17" x14ac:dyDescent="0.25">
      <c r="A687" s="3">
        <v>686</v>
      </c>
      <c r="B687" s="3" t="s">
        <v>45</v>
      </c>
      <c r="C687" s="3" t="s">
        <v>46</v>
      </c>
      <c r="D687" s="3" t="s">
        <v>102</v>
      </c>
      <c r="E687" s="3">
        <v>2</v>
      </c>
      <c r="F687" s="3">
        <v>2024</v>
      </c>
      <c r="G687" s="9" t="s">
        <v>91</v>
      </c>
      <c r="H687" s="3">
        <v>2384</v>
      </c>
      <c r="I687" s="3">
        <v>2591</v>
      </c>
      <c r="J687" s="3">
        <v>-207</v>
      </c>
      <c r="K687" s="3">
        <v>8.6999999999999993</v>
      </c>
      <c r="L687" s="3" t="s">
        <v>76</v>
      </c>
      <c r="M687">
        <f t="shared" si="60"/>
        <v>3259</v>
      </c>
      <c r="N687">
        <f t="shared" si="59"/>
        <v>3148.36012637875</v>
      </c>
      <c r="O687">
        <f t="shared" si="56"/>
        <v>207</v>
      </c>
      <c r="P687" s="6">
        <f t="shared" si="57"/>
        <v>8.6828859060402691E-2</v>
      </c>
      <c r="Q687" s="6">
        <f t="shared" si="58"/>
        <v>0.32062085838034815</v>
      </c>
    </row>
    <row r="688" spans="1:17" x14ac:dyDescent="0.25">
      <c r="A688" s="2">
        <v>687</v>
      </c>
      <c r="B688" s="2" t="s">
        <v>45</v>
      </c>
      <c r="C688" s="2" t="s">
        <v>46</v>
      </c>
      <c r="D688" s="2" t="s">
        <v>102</v>
      </c>
      <c r="E688" s="2">
        <v>3</v>
      </c>
      <c r="F688" s="2">
        <v>2024</v>
      </c>
      <c r="G688" s="8" t="s">
        <v>92</v>
      </c>
      <c r="H688" s="2">
        <v>2810</v>
      </c>
      <c r="I688" s="2">
        <v>2641</v>
      </c>
      <c r="J688" s="2">
        <v>169</v>
      </c>
      <c r="K688" s="2">
        <v>6</v>
      </c>
      <c r="L688" s="2" t="s">
        <v>76</v>
      </c>
      <c r="M688">
        <f t="shared" si="60"/>
        <v>2893.6666666666665</v>
      </c>
      <c r="N688">
        <f t="shared" si="59"/>
        <v>2919.0520884651246</v>
      </c>
      <c r="O688">
        <f t="shared" si="56"/>
        <v>169</v>
      </c>
      <c r="P688" s="6">
        <f t="shared" si="57"/>
        <v>6.0142348754448398E-2</v>
      </c>
      <c r="Q688" s="6">
        <f t="shared" si="58"/>
        <v>3.8808572407517651E-2</v>
      </c>
    </row>
    <row r="689" spans="1:17" x14ac:dyDescent="0.25">
      <c r="A689" s="3">
        <v>688</v>
      </c>
      <c r="B689" s="3" t="s">
        <v>45</v>
      </c>
      <c r="C689" s="3" t="s">
        <v>46</v>
      </c>
      <c r="D689" s="3" t="s">
        <v>102</v>
      </c>
      <c r="E689" s="3">
        <v>4</v>
      </c>
      <c r="F689" s="3">
        <v>2024</v>
      </c>
      <c r="G689" s="9" t="s">
        <v>93</v>
      </c>
      <c r="H689" s="3">
        <v>2847</v>
      </c>
      <c r="I689" s="3">
        <v>2930</v>
      </c>
      <c r="J689" s="3">
        <v>-83</v>
      </c>
      <c r="K689" s="3">
        <v>2.9</v>
      </c>
      <c r="L689" s="3" t="s">
        <v>78</v>
      </c>
      <c r="M689">
        <f t="shared" si="60"/>
        <v>2474</v>
      </c>
      <c r="N689">
        <f t="shared" si="59"/>
        <v>2886.3364619255872</v>
      </c>
      <c r="O689">
        <f t="shared" si="56"/>
        <v>83</v>
      </c>
      <c r="P689" s="6">
        <f t="shared" si="57"/>
        <v>2.9153494906919566E-2</v>
      </c>
      <c r="Q689" s="6">
        <f t="shared" si="58"/>
        <v>1.3816811354263145E-2</v>
      </c>
    </row>
    <row r="690" spans="1:17" x14ac:dyDescent="0.25">
      <c r="A690" s="2">
        <v>689</v>
      </c>
      <c r="B690" s="2" t="s">
        <v>45</v>
      </c>
      <c r="C690" s="2" t="s">
        <v>46</v>
      </c>
      <c r="D690" s="2" t="s">
        <v>102</v>
      </c>
      <c r="E690" s="2">
        <v>5</v>
      </c>
      <c r="F690" s="2">
        <v>2024</v>
      </c>
      <c r="G690" s="8" t="s">
        <v>94</v>
      </c>
      <c r="H690" s="2">
        <v>3237</v>
      </c>
      <c r="I690" s="2">
        <v>3063</v>
      </c>
      <c r="J690" s="2">
        <v>174</v>
      </c>
      <c r="K690" s="2">
        <v>5.4</v>
      </c>
      <c r="L690" s="2" t="s">
        <v>83</v>
      </c>
      <c r="M690">
        <f t="shared" si="60"/>
        <v>2680.3333333333335</v>
      </c>
      <c r="N690">
        <f t="shared" si="59"/>
        <v>2874.5355233479108</v>
      </c>
      <c r="O690">
        <f t="shared" si="56"/>
        <v>174</v>
      </c>
      <c r="P690" s="6">
        <f t="shared" si="57"/>
        <v>5.375347544022243E-2</v>
      </c>
      <c r="Q690" s="6">
        <f t="shared" si="58"/>
        <v>0.11197543300960432</v>
      </c>
    </row>
    <row r="691" spans="1:17" x14ac:dyDescent="0.25">
      <c r="A691" s="3">
        <v>690</v>
      </c>
      <c r="B691" s="3" t="s">
        <v>45</v>
      </c>
      <c r="C691" s="3" t="s">
        <v>46</v>
      </c>
      <c r="D691" s="3" t="s">
        <v>102</v>
      </c>
      <c r="E691" s="3">
        <v>6</v>
      </c>
      <c r="F691" s="3">
        <v>2024</v>
      </c>
      <c r="G691" s="9" t="s">
        <v>95</v>
      </c>
      <c r="H691" s="3">
        <v>3447</v>
      </c>
      <c r="I691" s="3">
        <v>3748</v>
      </c>
      <c r="J691" s="3">
        <v>-301</v>
      </c>
      <c r="K691" s="3">
        <v>8.6999999999999993</v>
      </c>
      <c r="L691" s="3" t="s">
        <v>78</v>
      </c>
      <c r="M691">
        <f t="shared" si="60"/>
        <v>2964.6666666666665</v>
      </c>
      <c r="N691">
        <f t="shared" si="59"/>
        <v>2983.2748663435373</v>
      </c>
      <c r="O691">
        <f t="shared" si="56"/>
        <v>301</v>
      </c>
      <c r="P691" s="6">
        <f t="shared" si="57"/>
        <v>8.7322309254424135E-2</v>
      </c>
      <c r="Q691" s="6">
        <f t="shared" si="58"/>
        <v>0.13453006488438141</v>
      </c>
    </row>
    <row r="692" spans="1:17" x14ac:dyDescent="0.25">
      <c r="A692" s="2">
        <v>691</v>
      </c>
      <c r="B692" s="2" t="s">
        <v>45</v>
      </c>
      <c r="C692" s="2" t="s">
        <v>46</v>
      </c>
      <c r="D692" s="2" t="s">
        <v>102</v>
      </c>
      <c r="E692" s="2">
        <v>7</v>
      </c>
      <c r="F692" s="2">
        <v>2024</v>
      </c>
      <c r="G692" s="8" t="s">
        <v>96</v>
      </c>
      <c r="H692" s="2">
        <v>3149</v>
      </c>
      <c r="I692" s="2">
        <v>3361</v>
      </c>
      <c r="J692" s="2">
        <v>-212</v>
      </c>
      <c r="K692" s="2">
        <v>6.7</v>
      </c>
      <c r="L692" s="2" t="s">
        <v>78</v>
      </c>
      <c r="M692">
        <f t="shared" si="60"/>
        <v>3177</v>
      </c>
      <c r="N692">
        <f t="shared" si="59"/>
        <v>3122.392406440476</v>
      </c>
      <c r="O692">
        <f t="shared" si="56"/>
        <v>212</v>
      </c>
      <c r="P692" s="6">
        <f t="shared" si="57"/>
        <v>6.7322959669736421E-2</v>
      </c>
      <c r="Q692" s="6">
        <f t="shared" si="58"/>
        <v>8.4495374911159257E-3</v>
      </c>
    </row>
    <row r="693" spans="1:17" x14ac:dyDescent="0.25">
      <c r="A693" s="3">
        <v>692</v>
      </c>
      <c r="B693" s="3" t="s">
        <v>45</v>
      </c>
      <c r="C693" s="3" t="s">
        <v>46</v>
      </c>
      <c r="D693" s="3" t="s">
        <v>102</v>
      </c>
      <c r="E693" s="3">
        <v>8</v>
      </c>
      <c r="F693" s="3">
        <v>2024</v>
      </c>
      <c r="G693" s="9" t="s">
        <v>97</v>
      </c>
      <c r="H693" s="3">
        <v>3496</v>
      </c>
      <c r="I693" s="3">
        <v>3423</v>
      </c>
      <c r="J693" s="3">
        <v>73</v>
      </c>
      <c r="K693" s="3">
        <v>2.1</v>
      </c>
      <c r="L693" s="3" t="s">
        <v>76</v>
      </c>
      <c r="M693">
        <f t="shared" si="60"/>
        <v>3277.6666666666665</v>
      </c>
      <c r="N693">
        <f t="shared" si="59"/>
        <v>3130.3746845083328</v>
      </c>
      <c r="O693">
        <f t="shared" si="56"/>
        <v>73</v>
      </c>
      <c r="P693" s="6">
        <f t="shared" si="57"/>
        <v>2.0881006864988557E-2</v>
      </c>
      <c r="Q693" s="6">
        <f t="shared" si="58"/>
        <v>0.10458390031226177</v>
      </c>
    </row>
    <row r="694" spans="1:17" x14ac:dyDescent="0.25">
      <c r="A694" s="2">
        <v>693</v>
      </c>
      <c r="B694" s="2" t="s">
        <v>45</v>
      </c>
      <c r="C694" s="2" t="s">
        <v>46</v>
      </c>
      <c r="D694" s="2" t="s">
        <v>102</v>
      </c>
      <c r="E694" s="2">
        <v>9</v>
      </c>
      <c r="F694" s="2">
        <v>2024</v>
      </c>
      <c r="G694" s="8" t="s">
        <v>98</v>
      </c>
      <c r="H694" s="2">
        <v>2751</v>
      </c>
      <c r="I694" s="2">
        <v>2888</v>
      </c>
      <c r="J694" s="2">
        <v>-137</v>
      </c>
      <c r="K694" s="2">
        <v>5</v>
      </c>
      <c r="L694" s="2" t="s">
        <v>76</v>
      </c>
      <c r="M694">
        <f t="shared" si="60"/>
        <v>3364</v>
      </c>
      <c r="N694">
        <f t="shared" si="59"/>
        <v>3240.0622791558326</v>
      </c>
      <c r="O694">
        <f t="shared" si="56"/>
        <v>137</v>
      </c>
      <c r="P694" s="6">
        <f t="shared" si="57"/>
        <v>4.9800072700836057E-2</v>
      </c>
      <c r="Q694" s="6">
        <f t="shared" si="58"/>
        <v>0.17777618289924849</v>
      </c>
    </row>
    <row r="695" spans="1:17" x14ac:dyDescent="0.25">
      <c r="A695" s="3">
        <v>694</v>
      </c>
      <c r="B695" s="3" t="s">
        <v>45</v>
      </c>
      <c r="C695" s="3" t="s">
        <v>46</v>
      </c>
      <c r="D695" s="3" t="s">
        <v>102</v>
      </c>
      <c r="E695" s="3">
        <v>10</v>
      </c>
      <c r="F695" s="3">
        <v>2024</v>
      </c>
      <c r="G695" s="9" t="s">
        <v>99</v>
      </c>
      <c r="H695" s="3">
        <v>3568</v>
      </c>
      <c r="I695" s="3">
        <v>3217</v>
      </c>
      <c r="J695" s="3">
        <v>351</v>
      </c>
      <c r="K695" s="3">
        <v>9.8000000000000007</v>
      </c>
      <c r="L695" s="3" t="s">
        <v>83</v>
      </c>
      <c r="M695">
        <f t="shared" si="60"/>
        <v>3132</v>
      </c>
      <c r="N695">
        <f t="shared" si="59"/>
        <v>3093.3435954090828</v>
      </c>
      <c r="O695">
        <f t="shared" si="56"/>
        <v>351</v>
      </c>
      <c r="P695" s="6">
        <f t="shared" si="57"/>
        <v>9.8374439461883414E-2</v>
      </c>
      <c r="Q695" s="6">
        <f t="shared" si="58"/>
        <v>0.13303150352884449</v>
      </c>
    </row>
    <row r="696" spans="1:17" x14ac:dyDescent="0.25">
      <c r="A696" s="2">
        <v>695</v>
      </c>
      <c r="B696" s="2" t="s">
        <v>45</v>
      </c>
      <c r="C696" s="2" t="s">
        <v>46</v>
      </c>
      <c r="D696" s="2" t="s">
        <v>102</v>
      </c>
      <c r="E696" s="2">
        <v>11</v>
      </c>
      <c r="F696" s="2">
        <v>2024</v>
      </c>
      <c r="G696" s="8" t="s">
        <v>100</v>
      </c>
      <c r="H696" s="2">
        <v>3810</v>
      </c>
      <c r="I696" s="2">
        <v>4136</v>
      </c>
      <c r="J696" s="2">
        <v>-326</v>
      </c>
      <c r="K696" s="2">
        <v>8.6</v>
      </c>
      <c r="L696" s="2" t="s">
        <v>76</v>
      </c>
      <c r="M696">
        <f t="shared" si="60"/>
        <v>3271.6666666666665</v>
      </c>
      <c r="N696">
        <f t="shared" si="59"/>
        <v>3235.7405167863581</v>
      </c>
      <c r="O696">
        <f t="shared" si="56"/>
        <v>326</v>
      </c>
      <c r="P696" s="6">
        <f t="shared" si="57"/>
        <v>8.5564304461942256E-2</v>
      </c>
      <c r="Q696" s="6">
        <f t="shared" si="58"/>
        <v>0.15072427380935485</v>
      </c>
    </row>
    <row r="697" spans="1:17" x14ac:dyDescent="0.25">
      <c r="A697" s="3">
        <v>696</v>
      </c>
      <c r="B697" s="3" t="s">
        <v>45</v>
      </c>
      <c r="C697" s="3" t="s">
        <v>46</v>
      </c>
      <c r="D697" s="3" t="s">
        <v>102</v>
      </c>
      <c r="E697" s="3">
        <v>12</v>
      </c>
      <c r="F697" s="3">
        <v>2024</v>
      </c>
      <c r="G697" s="9" t="s">
        <v>101</v>
      </c>
      <c r="H697" s="3">
        <v>3667</v>
      </c>
      <c r="I697" s="3">
        <v>4025</v>
      </c>
      <c r="J697" s="3">
        <v>-358</v>
      </c>
      <c r="K697" s="3">
        <v>9.8000000000000007</v>
      </c>
      <c r="L697" s="3" t="s">
        <v>83</v>
      </c>
      <c r="M697">
        <f t="shared" si="60"/>
        <v>3376.3333333333335</v>
      </c>
      <c r="N697">
        <f t="shared" si="59"/>
        <v>3408.0183617504504</v>
      </c>
      <c r="O697">
        <f t="shared" si="56"/>
        <v>358</v>
      </c>
      <c r="P697" s="6">
        <f t="shared" si="57"/>
        <v>9.7627488410144528E-2</v>
      </c>
      <c r="Q697" s="6">
        <f t="shared" si="58"/>
        <v>7.0624935437564665E-2</v>
      </c>
    </row>
    <row r="698" spans="1:17" x14ac:dyDescent="0.25">
      <c r="A698" s="2">
        <v>697</v>
      </c>
      <c r="B698" s="2" t="s">
        <v>45</v>
      </c>
      <c r="C698" s="2" t="s">
        <v>46</v>
      </c>
      <c r="D698" s="2" t="s">
        <v>103</v>
      </c>
      <c r="E698" s="2">
        <v>1</v>
      </c>
      <c r="F698" s="2">
        <v>2023</v>
      </c>
      <c r="G698" s="8" t="s">
        <v>75</v>
      </c>
      <c r="H698" s="2">
        <v>2842</v>
      </c>
      <c r="I698" s="2">
        <v>3063</v>
      </c>
      <c r="J698" s="2">
        <v>-221</v>
      </c>
      <c r="K698" s="2">
        <v>7.8</v>
      </c>
      <c r="L698" s="2" t="s">
        <v>78</v>
      </c>
      <c r="M698">
        <f t="shared" si="60"/>
        <v>3681.6666666666665</v>
      </c>
      <c r="N698">
        <f t="shared" si="59"/>
        <v>3485.712853225315</v>
      </c>
      <c r="O698">
        <f t="shared" si="56"/>
        <v>221</v>
      </c>
      <c r="P698" s="6">
        <f t="shared" si="57"/>
        <v>7.7762139338494018E-2</v>
      </c>
      <c r="Q698" s="6">
        <f t="shared" si="58"/>
        <v>0.22649994835514251</v>
      </c>
    </row>
    <row r="699" spans="1:17" x14ac:dyDescent="0.25">
      <c r="A699" s="3">
        <v>698</v>
      </c>
      <c r="B699" s="3" t="s">
        <v>45</v>
      </c>
      <c r="C699" s="3" t="s">
        <v>46</v>
      </c>
      <c r="D699" s="3" t="s">
        <v>103</v>
      </c>
      <c r="E699" s="3">
        <v>2</v>
      </c>
      <c r="F699" s="3">
        <v>2023</v>
      </c>
      <c r="G699" s="9" t="s">
        <v>77</v>
      </c>
      <c r="H699" s="3">
        <v>2956</v>
      </c>
      <c r="I699" s="3">
        <v>2937</v>
      </c>
      <c r="J699" s="3">
        <v>19</v>
      </c>
      <c r="K699" s="3">
        <v>0.6</v>
      </c>
      <c r="L699" s="3" t="s">
        <v>78</v>
      </c>
      <c r="M699">
        <f t="shared" si="60"/>
        <v>3439.6666666666665</v>
      </c>
      <c r="N699">
        <f t="shared" si="59"/>
        <v>3292.5989972577204</v>
      </c>
      <c r="O699">
        <f t="shared" si="56"/>
        <v>19</v>
      </c>
      <c r="P699" s="6">
        <f t="shared" si="57"/>
        <v>6.4276048714479025E-3</v>
      </c>
      <c r="Q699" s="6">
        <f t="shared" si="58"/>
        <v>0.11386975549990541</v>
      </c>
    </row>
    <row r="700" spans="1:17" x14ac:dyDescent="0.25">
      <c r="A700" s="2">
        <v>699</v>
      </c>
      <c r="B700" s="2" t="s">
        <v>45</v>
      </c>
      <c r="C700" s="2" t="s">
        <v>46</v>
      </c>
      <c r="D700" s="2" t="s">
        <v>103</v>
      </c>
      <c r="E700" s="2">
        <v>3</v>
      </c>
      <c r="F700" s="2">
        <v>2023</v>
      </c>
      <c r="G700" s="8" t="s">
        <v>79</v>
      </c>
      <c r="H700" s="2">
        <v>3392</v>
      </c>
      <c r="I700" s="2">
        <v>3277</v>
      </c>
      <c r="J700" s="2">
        <v>115</v>
      </c>
      <c r="K700" s="2">
        <v>3.4</v>
      </c>
      <c r="L700" s="2" t="s">
        <v>83</v>
      </c>
      <c r="M700">
        <f t="shared" si="60"/>
        <v>3155</v>
      </c>
      <c r="N700">
        <f t="shared" si="59"/>
        <v>3191.6192980804044</v>
      </c>
      <c r="O700">
        <f t="shared" si="56"/>
        <v>115</v>
      </c>
      <c r="P700" s="6">
        <f t="shared" si="57"/>
        <v>3.3903301886792456E-2</v>
      </c>
      <c r="Q700" s="6">
        <f t="shared" si="58"/>
        <v>5.9074499386673231E-2</v>
      </c>
    </row>
    <row r="701" spans="1:17" x14ac:dyDescent="0.25">
      <c r="A701" s="3">
        <v>700</v>
      </c>
      <c r="B701" s="3" t="s">
        <v>45</v>
      </c>
      <c r="C701" s="3" t="s">
        <v>46</v>
      </c>
      <c r="D701" s="3" t="s">
        <v>103</v>
      </c>
      <c r="E701" s="3">
        <v>4</v>
      </c>
      <c r="F701" s="3">
        <v>2023</v>
      </c>
      <c r="G701" s="9" t="s">
        <v>80</v>
      </c>
      <c r="H701" s="3">
        <v>3292</v>
      </c>
      <c r="I701" s="3">
        <v>3132</v>
      </c>
      <c r="J701" s="3">
        <v>160</v>
      </c>
      <c r="K701" s="3">
        <v>4.9000000000000004</v>
      </c>
      <c r="L701" s="3" t="s">
        <v>78</v>
      </c>
      <c r="M701">
        <f t="shared" si="60"/>
        <v>3063.3333333333335</v>
      </c>
      <c r="N701">
        <f t="shared" si="59"/>
        <v>3251.733508656283</v>
      </c>
      <c r="O701">
        <f t="shared" si="56"/>
        <v>160</v>
      </c>
      <c r="P701" s="6">
        <f t="shared" si="57"/>
        <v>4.8602673147023087E-2</v>
      </c>
      <c r="Q701" s="6">
        <f t="shared" si="58"/>
        <v>1.2231619484725701E-2</v>
      </c>
    </row>
    <row r="702" spans="1:17" x14ac:dyDescent="0.25">
      <c r="A702" s="2">
        <v>701</v>
      </c>
      <c r="B702" s="2" t="s">
        <v>45</v>
      </c>
      <c r="C702" s="2" t="s">
        <v>46</v>
      </c>
      <c r="D702" s="2" t="s">
        <v>103</v>
      </c>
      <c r="E702" s="2">
        <v>5</v>
      </c>
      <c r="F702" s="2">
        <v>2023</v>
      </c>
      <c r="G702" s="8" t="s">
        <v>81</v>
      </c>
      <c r="H702" s="2">
        <v>3084</v>
      </c>
      <c r="I702" s="2">
        <v>2983</v>
      </c>
      <c r="J702" s="2">
        <v>101</v>
      </c>
      <c r="K702" s="2">
        <v>3.3</v>
      </c>
      <c r="L702" s="2" t="s">
        <v>76</v>
      </c>
      <c r="M702">
        <f t="shared" si="60"/>
        <v>3213.3333333333335</v>
      </c>
      <c r="N702">
        <f t="shared" si="59"/>
        <v>3263.813456059398</v>
      </c>
      <c r="O702">
        <f t="shared" si="56"/>
        <v>101</v>
      </c>
      <c r="P702" s="6">
        <f t="shared" si="57"/>
        <v>3.2749675745784697E-2</v>
      </c>
      <c r="Q702" s="6">
        <f t="shared" si="58"/>
        <v>5.830527109578406E-2</v>
      </c>
    </row>
    <row r="703" spans="1:17" x14ac:dyDescent="0.25">
      <c r="A703" s="3">
        <v>702</v>
      </c>
      <c r="B703" s="3" t="s">
        <v>45</v>
      </c>
      <c r="C703" s="3" t="s">
        <v>46</v>
      </c>
      <c r="D703" s="3" t="s">
        <v>103</v>
      </c>
      <c r="E703" s="3">
        <v>6</v>
      </c>
      <c r="F703" s="3">
        <v>2023</v>
      </c>
      <c r="G703" s="9" t="s">
        <v>82</v>
      </c>
      <c r="H703" s="3">
        <v>3716</v>
      </c>
      <c r="I703" s="3">
        <v>3907</v>
      </c>
      <c r="J703" s="3">
        <v>-191</v>
      </c>
      <c r="K703" s="3">
        <v>5.0999999999999996</v>
      </c>
      <c r="L703" s="3" t="s">
        <v>78</v>
      </c>
      <c r="M703">
        <f t="shared" si="60"/>
        <v>3256</v>
      </c>
      <c r="N703">
        <f t="shared" si="59"/>
        <v>3209.8694192415783</v>
      </c>
      <c r="O703">
        <f t="shared" si="56"/>
        <v>191</v>
      </c>
      <c r="P703" s="6">
        <f t="shared" si="57"/>
        <v>5.139935414424112E-2</v>
      </c>
      <c r="Q703" s="6">
        <f t="shared" si="58"/>
        <v>0.13620306263681964</v>
      </c>
    </row>
    <row r="704" spans="1:17" x14ac:dyDescent="0.25">
      <c r="A704" s="2">
        <v>703</v>
      </c>
      <c r="B704" s="2" t="s">
        <v>45</v>
      </c>
      <c r="C704" s="2" t="s">
        <v>46</v>
      </c>
      <c r="D704" s="2" t="s">
        <v>103</v>
      </c>
      <c r="E704" s="2">
        <v>7</v>
      </c>
      <c r="F704" s="2">
        <v>2023</v>
      </c>
      <c r="G704" s="8" t="s">
        <v>84</v>
      </c>
      <c r="H704" s="2">
        <v>3686</v>
      </c>
      <c r="I704" s="2">
        <v>3788</v>
      </c>
      <c r="J704" s="2">
        <v>-102</v>
      </c>
      <c r="K704" s="2">
        <v>2.8</v>
      </c>
      <c r="L704" s="2" t="s">
        <v>76</v>
      </c>
      <c r="M704">
        <f t="shared" si="60"/>
        <v>3364</v>
      </c>
      <c r="N704">
        <f t="shared" si="59"/>
        <v>3361.7085934691049</v>
      </c>
      <c r="O704">
        <f t="shared" si="56"/>
        <v>102</v>
      </c>
      <c r="P704" s="6">
        <f t="shared" si="57"/>
        <v>2.7672273467173086E-2</v>
      </c>
      <c r="Q704" s="6">
        <f t="shared" si="58"/>
        <v>8.7979220437030672E-2</v>
      </c>
    </row>
    <row r="705" spans="1:17" x14ac:dyDescent="0.25">
      <c r="A705" s="3">
        <v>704</v>
      </c>
      <c r="B705" s="3" t="s">
        <v>45</v>
      </c>
      <c r="C705" s="3" t="s">
        <v>46</v>
      </c>
      <c r="D705" s="3" t="s">
        <v>103</v>
      </c>
      <c r="E705" s="3">
        <v>8</v>
      </c>
      <c r="F705" s="3">
        <v>2023</v>
      </c>
      <c r="G705" s="9" t="s">
        <v>85</v>
      </c>
      <c r="H705" s="3">
        <v>3765</v>
      </c>
      <c r="I705" s="3">
        <v>3776</v>
      </c>
      <c r="J705" s="3">
        <v>-11</v>
      </c>
      <c r="K705" s="3">
        <v>0.3</v>
      </c>
      <c r="L705" s="3" t="s">
        <v>78</v>
      </c>
      <c r="M705">
        <f t="shared" si="60"/>
        <v>3495.3333333333335</v>
      </c>
      <c r="N705">
        <f t="shared" si="59"/>
        <v>3458.9960154283735</v>
      </c>
      <c r="O705">
        <f t="shared" si="56"/>
        <v>11</v>
      </c>
      <c r="P705" s="6">
        <f t="shared" si="57"/>
        <v>2.9216467463479417E-3</v>
      </c>
      <c r="Q705" s="6">
        <f t="shared" si="58"/>
        <v>8.1275958717563462E-2</v>
      </c>
    </row>
    <row r="706" spans="1:17" x14ac:dyDescent="0.25">
      <c r="A706" s="2">
        <v>705</v>
      </c>
      <c r="B706" s="2" t="s">
        <v>45</v>
      </c>
      <c r="C706" s="2" t="s">
        <v>46</v>
      </c>
      <c r="D706" s="2" t="s">
        <v>103</v>
      </c>
      <c r="E706" s="2">
        <v>9</v>
      </c>
      <c r="F706" s="2">
        <v>2023</v>
      </c>
      <c r="G706" s="8" t="s">
        <v>86</v>
      </c>
      <c r="H706" s="2">
        <v>3245</v>
      </c>
      <c r="I706" s="2">
        <v>2982</v>
      </c>
      <c r="J706" s="2">
        <v>263</v>
      </c>
      <c r="K706" s="2">
        <v>8.1</v>
      </c>
      <c r="L706" s="2" t="s">
        <v>78</v>
      </c>
      <c r="M706">
        <f t="shared" si="60"/>
        <v>3722.3333333333335</v>
      </c>
      <c r="N706">
        <f t="shared" si="59"/>
        <v>3550.7972107998612</v>
      </c>
      <c r="O706">
        <f t="shared" si="56"/>
        <v>263</v>
      </c>
      <c r="P706" s="6">
        <f t="shared" si="57"/>
        <v>8.1047765793528501E-2</v>
      </c>
      <c r="Q706" s="6">
        <f t="shared" si="58"/>
        <v>9.4236428597800057E-2</v>
      </c>
    </row>
    <row r="707" spans="1:17" x14ac:dyDescent="0.25">
      <c r="A707" s="3">
        <v>706</v>
      </c>
      <c r="B707" s="3" t="s">
        <v>45</v>
      </c>
      <c r="C707" s="3" t="s">
        <v>46</v>
      </c>
      <c r="D707" s="3" t="s">
        <v>103</v>
      </c>
      <c r="E707" s="3">
        <v>10</v>
      </c>
      <c r="F707" s="3">
        <v>2023</v>
      </c>
      <c r="G707" s="9" t="s">
        <v>87</v>
      </c>
      <c r="H707" s="3">
        <v>3637</v>
      </c>
      <c r="I707" s="3">
        <v>3954</v>
      </c>
      <c r="J707" s="3">
        <v>-317</v>
      </c>
      <c r="K707" s="3">
        <v>8.6999999999999993</v>
      </c>
      <c r="L707" s="3" t="s">
        <v>78</v>
      </c>
      <c r="M707">
        <f t="shared" si="60"/>
        <v>3565.3333333333335</v>
      </c>
      <c r="N707">
        <f t="shared" si="59"/>
        <v>3459.0580475599027</v>
      </c>
      <c r="O707">
        <f t="shared" ref="O707:O770" si="61">ABS(H707-I707)</f>
        <v>317</v>
      </c>
      <c r="P707" s="6">
        <f t="shared" ref="P707:P770" si="62">ABS(O707)/H707</f>
        <v>8.7159747044267252E-2</v>
      </c>
      <c r="Q707" s="6">
        <f t="shared" ref="Q707:Q770" si="63">ABS((H707-N707))/H707</f>
        <v>4.8925474962908257E-2</v>
      </c>
    </row>
    <row r="708" spans="1:17" x14ac:dyDescent="0.25">
      <c r="A708" s="2">
        <v>707</v>
      </c>
      <c r="B708" s="2" t="s">
        <v>45</v>
      </c>
      <c r="C708" s="2" t="s">
        <v>46</v>
      </c>
      <c r="D708" s="2" t="s">
        <v>103</v>
      </c>
      <c r="E708" s="2">
        <v>11</v>
      </c>
      <c r="F708" s="2">
        <v>2023</v>
      </c>
      <c r="G708" s="8" t="s">
        <v>88</v>
      </c>
      <c r="H708" s="2">
        <v>3917</v>
      </c>
      <c r="I708" s="2">
        <v>3709</v>
      </c>
      <c r="J708" s="2">
        <v>208</v>
      </c>
      <c r="K708" s="2">
        <v>5.3</v>
      </c>
      <c r="L708" s="2" t="s">
        <v>76</v>
      </c>
      <c r="M708">
        <f t="shared" si="60"/>
        <v>3549</v>
      </c>
      <c r="N708">
        <f t="shared" ref="N708:N771" si="64">0.3*H707+(0.7*N707)</f>
        <v>3512.4406332919316</v>
      </c>
      <c r="O708">
        <f t="shared" si="61"/>
        <v>208</v>
      </c>
      <c r="P708" s="6">
        <f t="shared" si="62"/>
        <v>5.3101863671176919E-2</v>
      </c>
      <c r="Q708" s="6">
        <f t="shared" si="63"/>
        <v>0.10328296316264192</v>
      </c>
    </row>
    <row r="709" spans="1:17" x14ac:dyDescent="0.25">
      <c r="A709" s="3">
        <v>708</v>
      </c>
      <c r="B709" s="3" t="s">
        <v>45</v>
      </c>
      <c r="C709" s="3" t="s">
        <v>46</v>
      </c>
      <c r="D709" s="3" t="s">
        <v>103</v>
      </c>
      <c r="E709" s="3">
        <v>12</v>
      </c>
      <c r="F709" s="3">
        <v>2023</v>
      </c>
      <c r="G709" s="9" t="s">
        <v>89</v>
      </c>
      <c r="H709" s="3">
        <v>4793</v>
      </c>
      <c r="I709" s="3">
        <v>4603</v>
      </c>
      <c r="J709" s="3">
        <v>190</v>
      </c>
      <c r="K709" s="3">
        <v>4</v>
      </c>
      <c r="L709" s="3" t="s">
        <v>83</v>
      </c>
      <c r="M709">
        <f t="shared" si="60"/>
        <v>3599.6666666666665</v>
      </c>
      <c r="N709">
        <f t="shared" si="64"/>
        <v>3633.8084433043518</v>
      </c>
      <c r="O709">
        <f t="shared" si="61"/>
        <v>190</v>
      </c>
      <c r="P709" s="6">
        <f t="shared" si="62"/>
        <v>3.9641143334028794E-2</v>
      </c>
      <c r="Q709" s="6">
        <f t="shared" si="63"/>
        <v>0.24185094026614817</v>
      </c>
    </row>
    <row r="710" spans="1:17" x14ac:dyDescent="0.25">
      <c r="A710" s="2">
        <v>709</v>
      </c>
      <c r="B710" s="2" t="s">
        <v>45</v>
      </c>
      <c r="C710" s="2" t="s">
        <v>46</v>
      </c>
      <c r="D710" s="2" t="s">
        <v>103</v>
      </c>
      <c r="E710" s="2">
        <v>1</v>
      </c>
      <c r="F710" s="2">
        <v>2024</v>
      </c>
      <c r="G710" s="8" t="s">
        <v>90</v>
      </c>
      <c r="H710" s="2">
        <v>2875</v>
      </c>
      <c r="I710" s="2">
        <v>2737</v>
      </c>
      <c r="J710" s="2">
        <v>138</v>
      </c>
      <c r="K710" s="2">
        <v>4.8</v>
      </c>
      <c r="L710" s="2" t="s">
        <v>76</v>
      </c>
      <c r="M710">
        <f t="shared" ref="M710:M773" si="65">AVERAGE(H707:H709)</f>
        <v>4115.666666666667</v>
      </c>
      <c r="N710">
        <f t="shared" si="64"/>
        <v>3981.5659103130456</v>
      </c>
      <c r="O710">
        <f t="shared" si="61"/>
        <v>138</v>
      </c>
      <c r="P710" s="6">
        <f t="shared" si="62"/>
        <v>4.8000000000000001E-2</v>
      </c>
      <c r="Q710" s="6">
        <f t="shared" si="63"/>
        <v>0.38489249054366803</v>
      </c>
    </row>
    <row r="711" spans="1:17" x14ac:dyDescent="0.25">
      <c r="A711" s="3">
        <v>710</v>
      </c>
      <c r="B711" s="3" t="s">
        <v>45</v>
      </c>
      <c r="C711" s="3" t="s">
        <v>46</v>
      </c>
      <c r="D711" s="3" t="s">
        <v>103</v>
      </c>
      <c r="E711" s="3">
        <v>2</v>
      </c>
      <c r="F711" s="3">
        <v>2024</v>
      </c>
      <c r="G711" s="9" t="s">
        <v>91</v>
      </c>
      <c r="H711" s="3">
        <v>2852</v>
      </c>
      <c r="I711" s="3">
        <v>2602</v>
      </c>
      <c r="J711" s="3">
        <v>250</v>
      </c>
      <c r="K711" s="3">
        <v>8.8000000000000007</v>
      </c>
      <c r="L711" s="3" t="s">
        <v>78</v>
      </c>
      <c r="M711">
        <f t="shared" si="65"/>
        <v>3861.6666666666665</v>
      </c>
      <c r="N711">
        <f t="shared" si="64"/>
        <v>3649.5961372191318</v>
      </c>
      <c r="O711">
        <f t="shared" si="61"/>
        <v>250</v>
      </c>
      <c r="P711" s="6">
        <f t="shared" si="62"/>
        <v>8.7657784011220194E-2</v>
      </c>
      <c r="Q711" s="6">
        <f t="shared" si="63"/>
        <v>0.27966203969815284</v>
      </c>
    </row>
    <row r="712" spans="1:17" x14ac:dyDescent="0.25">
      <c r="A712" s="2">
        <v>711</v>
      </c>
      <c r="B712" s="2" t="s">
        <v>45</v>
      </c>
      <c r="C712" s="2" t="s">
        <v>46</v>
      </c>
      <c r="D712" s="2" t="s">
        <v>103</v>
      </c>
      <c r="E712" s="2">
        <v>3</v>
      </c>
      <c r="F712" s="2">
        <v>2024</v>
      </c>
      <c r="G712" s="8" t="s">
        <v>92</v>
      </c>
      <c r="H712" s="2">
        <v>3132</v>
      </c>
      <c r="I712" s="2">
        <v>2918</v>
      </c>
      <c r="J712" s="2">
        <v>214</v>
      </c>
      <c r="K712" s="2">
        <v>6.8</v>
      </c>
      <c r="L712" s="2" t="s">
        <v>83</v>
      </c>
      <c r="M712">
        <f t="shared" si="65"/>
        <v>3506.6666666666665</v>
      </c>
      <c r="N712">
        <f t="shared" si="64"/>
        <v>3410.3172960533921</v>
      </c>
      <c r="O712">
        <f t="shared" si="61"/>
        <v>214</v>
      </c>
      <c r="P712" s="6">
        <f t="shared" si="62"/>
        <v>6.8326947637292468E-2</v>
      </c>
      <c r="Q712" s="6">
        <f t="shared" si="63"/>
        <v>8.8862482775667967E-2</v>
      </c>
    </row>
    <row r="713" spans="1:17" x14ac:dyDescent="0.25">
      <c r="A713" s="3">
        <v>712</v>
      </c>
      <c r="B713" s="3" t="s">
        <v>45</v>
      </c>
      <c r="C713" s="3" t="s">
        <v>46</v>
      </c>
      <c r="D713" s="3" t="s">
        <v>103</v>
      </c>
      <c r="E713" s="3">
        <v>4</v>
      </c>
      <c r="F713" s="3">
        <v>2024</v>
      </c>
      <c r="G713" s="9" t="s">
        <v>93</v>
      </c>
      <c r="H713" s="3">
        <v>3327</v>
      </c>
      <c r="I713" s="3">
        <v>3589</v>
      </c>
      <c r="J713" s="3">
        <v>-262</v>
      </c>
      <c r="K713" s="3">
        <v>7.9</v>
      </c>
      <c r="L713" s="3" t="s">
        <v>83</v>
      </c>
      <c r="M713">
        <f t="shared" si="65"/>
        <v>2953</v>
      </c>
      <c r="N713">
        <f t="shared" si="64"/>
        <v>3326.822107237374</v>
      </c>
      <c r="O713">
        <f t="shared" si="61"/>
        <v>262</v>
      </c>
      <c r="P713" s="6">
        <f t="shared" si="62"/>
        <v>7.8749624286143668E-2</v>
      </c>
      <c r="Q713" s="6">
        <f t="shared" si="63"/>
        <v>5.3469420687110194E-5</v>
      </c>
    </row>
    <row r="714" spans="1:17" x14ac:dyDescent="0.25">
      <c r="A714" s="2">
        <v>713</v>
      </c>
      <c r="B714" s="2" t="s">
        <v>45</v>
      </c>
      <c r="C714" s="2" t="s">
        <v>46</v>
      </c>
      <c r="D714" s="2" t="s">
        <v>103</v>
      </c>
      <c r="E714" s="2">
        <v>5</v>
      </c>
      <c r="F714" s="2">
        <v>2024</v>
      </c>
      <c r="G714" s="8" t="s">
        <v>94</v>
      </c>
      <c r="H714" s="2">
        <v>3717</v>
      </c>
      <c r="I714" s="2">
        <v>3858</v>
      </c>
      <c r="J714" s="2">
        <v>-141</v>
      </c>
      <c r="K714" s="2">
        <v>3.8</v>
      </c>
      <c r="L714" s="2" t="s">
        <v>83</v>
      </c>
      <c r="M714">
        <f t="shared" si="65"/>
        <v>3103.6666666666665</v>
      </c>
      <c r="N714">
        <f t="shared" si="64"/>
        <v>3326.8754750661615</v>
      </c>
      <c r="O714">
        <f t="shared" si="61"/>
        <v>141</v>
      </c>
      <c r="P714" s="6">
        <f t="shared" si="62"/>
        <v>3.7933817594834544E-2</v>
      </c>
      <c r="Q714" s="6">
        <f t="shared" si="63"/>
        <v>0.10495682672419654</v>
      </c>
    </row>
    <row r="715" spans="1:17" x14ac:dyDescent="0.25">
      <c r="A715" s="3">
        <v>714</v>
      </c>
      <c r="B715" s="3" t="s">
        <v>45</v>
      </c>
      <c r="C715" s="3" t="s">
        <v>46</v>
      </c>
      <c r="D715" s="3" t="s">
        <v>103</v>
      </c>
      <c r="E715" s="3">
        <v>6</v>
      </c>
      <c r="F715" s="3">
        <v>2024</v>
      </c>
      <c r="G715" s="9" t="s">
        <v>95</v>
      </c>
      <c r="H715" s="3">
        <v>4022</v>
      </c>
      <c r="I715" s="3">
        <v>3857</v>
      </c>
      <c r="J715" s="3">
        <v>165</v>
      </c>
      <c r="K715" s="3">
        <v>4.0999999999999996</v>
      </c>
      <c r="L715" s="3" t="s">
        <v>83</v>
      </c>
      <c r="M715">
        <f t="shared" si="65"/>
        <v>3392</v>
      </c>
      <c r="N715">
        <f t="shared" si="64"/>
        <v>3443.912832546313</v>
      </c>
      <c r="O715">
        <f t="shared" si="61"/>
        <v>165</v>
      </c>
      <c r="P715" s="6">
        <f t="shared" si="62"/>
        <v>4.1024365987071106E-2</v>
      </c>
      <c r="Q715" s="6">
        <f t="shared" si="63"/>
        <v>0.14373126987908677</v>
      </c>
    </row>
    <row r="716" spans="1:17" x14ac:dyDescent="0.25">
      <c r="A716" s="2">
        <v>715</v>
      </c>
      <c r="B716" s="2" t="s">
        <v>45</v>
      </c>
      <c r="C716" s="2" t="s">
        <v>46</v>
      </c>
      <c r="D716" s="2" t="s">
        <v>103</v>
      </c>
      <c r="E716" s="2">
        <v>7</v>
      </c>
      <c r="F716" s="2">
        <v>2024</v>
      </c>
      <c r="G716" s="8" t="s">
        <v>96</v>
      </c>
      <c r="H716" s="2">
        <v>3350</v>
      </c>
      <c r="I716" s="2">
        <v>3656</v>
      </c>
      <c r="J716" s="2">
        <v>-306</v>
      </c>
      <c r="K716" s="2">
        <v>9.1</v>
      </c>
      <c r="L716" s="2" t="s">
        <v>76</v>
      </c>
      <c r="M716">
        <f t="shared" si="65"/>
        <v>3688.6666666666665</v>
      </c>
      <c r="N716">
        <f t="shared" si="64"/>
        <v>3617.338982782419</v>
      </c>
      <c r="O716">
        <f t="shared" si="61"/>
        <v>306</v>
      </c>
      <c r="P716" s="6">
        <f t="shared" si="62"/>
        <v>9.1343283582089554E-2</v>
      </c>
      <c r="Q716" s="6">
        <f t="shared" si="63"/>
        <v>7.9802681427587743E-2</v>
      </c>
    </row>
    <row r="717" spans="1:17" x14ac:dyDescent="0.25">
      <c r="A717" s="3">
        <v>716</v>
      </c>
      <c r="B717" s="3" t="s">
        <v>45</v>
      </c>
      <c r="C717" s="3" t="s">
        <v>46</v>
      </c>
      <c r="D717" s="3" t="s">
        <v>103</v>
      </c>
      <c r="E717" s="3">
        <v>8</v>
      </c>
      <c r="F717" s="3">
        <v>2024</v>
      </c>
      <c r="G717" s="9" t="s">
        <v>97</v>
      </c>
      <c r="H717" s="3">
        <v>3200</v>
      </c>
      <c r="I717" s="3">
        <v>3358</v>
      </c>
      <c r="J717" s="3">
        <v>-158</v>
      </c>
      <c r="K717" s="3">
        <v>4.9000000000000004</v>
      </c>
      <c r="L717" s="3" t="s">
        <v>83</v>
      </c>
      <c r="M717">
        <f t="shared" si="65"/>
        <v>3696.3333333333335</v>
      </c>
      <c r="N717">
        <f t="shared" si="64"/>
        <v>3537.137287947693</v>
      </c>
      <c r="O717">
        <f t="shared" si="61"/>
        <v>158</v>
      </c>
      <c r="P717" s="6">
        <f t="shared" si="62"/>
        <v>4.9375000000000002E-2</v>
      </c>
      <c r="Q717" s="6">
        <f t="shared" si="63"/>
        <v>0.10535540248365408</v>
      </c>
    </row>
    <row r="718" spans="1:17" x14ac:dyDescent="0.25">
      <c r="A718" s="2">
        <v>717</v>
      </c>
      <c r="B718" s="2" t="s">
        <v>45</v>
      </c>
      <c r="C718" s="2" t="s">
        <v>46</v>
      </c>
      <c r="D718" s="2" t="s">
        <v>103</v>
      </c>
      <c r="E718" s="2">
        <v>9</v>
      </c>
      <c r="F718" s="2">
        <v>2024</v>
      </c>
      <c r="G718" s="8" t="s">
        <v>98</v>
      </c>
      <c r="H718" s="2">
        <v>3224</v>
      </c>
      <c r="I718" s="2">
        <v>3354</v>
      </c>
      <c r="J718" s="2">
        <v>-130</v>
      </c>
      <c r="K718" s="2">
        <v>4</v>
      </c>
      <c r="L718" s="2" t="s">
        <v>76</v>
      </c>
      <c r="M718">
        <f t="shared" si="65"/>
        <v>3524</v>
      </c>
      <c r="N718">
        <f t="shared" si="64"/>
        <v>3435.9961015633849</v>
      </c>
      <c r="O718">
        <f t="shared" si="61"/>
        <v>130</v>
      </c>
      <c r="P718" s="6">
        <f t="shared" si="62"/>
        <v>4.0322580645161289E-2</v>
      </c>
      <c r="Q718" s="6">
        <f t="shared" si="63"/>
        <v>6.5755614628841455E-2</v>
      </c>
    </row>
    <row r="719" spans="1:17" x14ac:dyDescent="0.25">
      <c r="A719" s="3">
        <v>718</v>
      </c>
      <c r="B719" s="3" t="s">
        <v>45</v>
      </c>
      <c r="C719" s="3" t="s">
        <v>46</v>
      </c>
      <c r="D719" s="3" t="s">
        <v>103</v>
      </c>
      <c r="E719" s="3">
        <v>10</v>
      </c>
      <c r="F719" s="3">
        <v>2024</v>
      </c>
      <c r="G719" s="9" t="s">
        <v>99</v>
      </c>
      <c r="H719" s="3">
        <v>3883</v>
      </c>
      <c r="I719" s="3">
        <v>4117</v>
      </c>
      <c r="J719" s="3">
        <v>-234</v>
      </c>
      <c r="K719" s="3">
        <v>6</v>
      </c>
      <c r="L719" s="3" t="s">
        <v>78</v>
      </c>
      <c r="M719">
        <f t="shared" si="65"/>
        <v>3258</v>
      </c>
      <c r="N719">
        <f t="shared" si="64"/>
        <v>3372.397271094369</v>
      </c>
      <c r="O719">
        <f t="shared" si="61"/>
        <v>234</v>
      </c>
      <c r="P719" s="6">
        <f t="shared" si="62"/>
        <v>6.0262683492145246E-2</v>
      </c>
      <c r="Q719" s="6">
        <f t="shared" si="63"/>
        <v>0.13149696855669096</v>
      </c>
    </row>
    <row r="720" spans="1:17" x14ac:dyDescent="0.25">
      <c r="A720" s="2">
        <v>719</v>
      </c>
      <c r="B720" s="2" t="s">
        <v>45</v>
      </c>
      <c r="C720" s="2" t="s">
        <v>46</v>
      </c>
      <c r="D720" s="2" t="s">
        <v>103</v>
      </c>
      <c r="E720" s="2">
        <v>11</v>
      </c>
      <c r="F720" s="2">
        <v>2024</v>
      </c>
      <c r="G720" s="8" t="s">
        <v>100</v>
      </c>
      <c r="H720" s="2">
        <v>4417</v>
      </c>
      <c r="I720" s="2">
        <v>4576</v>
      </c>
      <c r="J720" s="2">
        <v>-159</v>
      </c>
      <c r="K720" s="2">
        <v>3.6</v>
      </c>
      <c r="L720" s="2" t="s">
        <v>83</v>
      </c>
      <c r="M720">
        <f t="shared" si="65"/>
        <v>3435.6666666666665</v>
      </c>
      <c r="N720">
        <f t="shared" si="64"/>
        <v>3525.5780897660579</v>
      </c>
      <c r="O720">
        <f t="shared" si="61"/>
        <v>159</v>
      </c>
      <c r="P720" s="6">
        <f t="shared" si="62"/>
        <v>3.5997283223907627E-2</v>
      </c>
      <c r="Q720" s="6">
        <f t="shared" si="63"/>
        <v>0.20181614449489294</v>
      </c>
    </row>
    <row r="721" spans="1:17" x14ac:dyDescent="0.25">
      <c r="A721" s="3">
        <v>720</v>
      </c>
      <c r="B721" s="3" t="s">
        <v>45</v>
      </c>
      <c r="C721" s="3" t="s">
        <v>46</v>
      </c>
      <c r="D721" s="3" t="s">
        <v>103</v>
      </c>
      <c r="E721" s="3">
        <v>12</v>
      </c>
      <c r="F721" s="3">
        <v>2024</v>
      </c>
      <c r="G721" s="9" t="s">
        <v>101</v>
      </c>
      <c r="H721" s="3">
        <v>4709</v>
      </c>
      <c r="I721" s="3">
        <v>4315</v>
      </c>
      <c r="J721" s="3">
        <v>394</v>
      </c>
      <c r="K721" s="3">
        <v>8.4</v>
      </c>
      <c r="L721" s="3" t="s">
        <v>76</v>
      </c>
      <c r="M721">
        <f t="shared" si="65"/>
        <v>3841.3333333333335</v>
      </c>
      <c r="N721">
        <f t="shared" si="64"/>
        <v>3793.0046628362402</v>
      </c>
      <c r="O721">
        <f t="shared" si="61"/>
        <v>394</v>
      </c>
      <c r="P721" s="6">
        <f t="shared" si="62"/>
        <v>8.3669568910596723E-2</v>
      </c>
      <c r="Q721" s="6">
        <f t="shared" si="63"/>
        <v>0.19452013955484387</v>
      </c>
    </row>
    <row r="722" spans="1:17" x14ac:dyDescent="0.25">
      <c r="A722" s="2">
        <v>721</v>
      </c>
      <c r="B722" s="2" t="s">
        <v>47</v>
      </c>
      <c r="C722" s="2" t="s">
        <v>48</v>
      </c>
      <c r="D722" s="2" t="s">
        <v>74</v>
      </c>
      <c r="E722" s="2">
        <v>1</v>
      </c>
      <c r="F722" s="2">
        <v>2023</v>
      </c>
      <c r="G722" s="8" t="s">
        <v>75</v>
      </c>
      <c r="H722" s="2">
        <v>3251</v>
      </c>
      <c r="I722" s="2">
        <v>3161</v>
      </c>
      <c r="J722" s="2">
        <v>90</v>
      </c>
      <c r="K722" s="2">
        <v>2.8</v>
      </c>
      <c r="L722" s="2" t="s">
        <v>83</v>
      </c>
      <c r="M722">
        <f t="shared" si="65"/>
        <v>4336.333333333333</v>
      </c>
      <c r="N722">
        <f t="shared" si="64"/>
        <v>4067.8032639853682</v>
      </c>
      <c r="O722">
        <f t="shared" si="61"/>
        <v>90</v>
      </c>
      <c r="P722" s="6">
        <f t="shared" si="62"/>
        <v>2.7683789603199015E-2</v>
      </c>
      <c r="Q722" s="6">
        <f t="shared" si="63"/>
        <v>0.25124677452641286</v>
      </c>
    </row>
    <row r="723" spans="1:17" x14ac:dyDescent="0.25">
      <c r="A723" s="3">
        <v>722</v>
      </c>
      <c r="B723" s="3" t="s">
        <v>47</v>
      </c>
      <c r="C723" s="3" t="s">
        <v>48</v>
      </c>
      <c r="D723" s="3" t="s">
        <v>74</v>
      </c>
      <c r="E723" s="3">
        <v>2</v>
      </c>
      <c r="F723" s="3">
        <v>2023</v>
      </c>
      <c r="G723" s="9" t="s">
        <v>77</v>
      </c>
      <c r="H723" s="3">
        <v>2825</v>
      </c>
      <c r="I723" s="3">
        <v>3010</v>
      </c>
      <c r="J723" s="3">
        <v>-185</v>
      </c>
      <c r="K723" s="3">
        <v>6.5</v>
      </c>
      <c r="L723" s="3" t="s">
        <v>83</v>
      </c>
      <c r="M723">
        <f t="shared" si="65"/>
        <v>4125.666666666667</v>
      </c>
      <c r="N723">
        <f t="shared" si="64"/>
        <v>3822.7622847897574</v>
      </c>
      <c r="O723">
        <f t="shared" si="61"/>
        <v>185</v>
      </c>
      <c r="P723" s="6">
        <f t="shared" si="62"/>
        <v>6.5486725663716813E-2</v>
      </c>
      <c r="Q723" s="6">
        <f t="shared" si="63"/>
        <v>0.35319018930610879</v>
      </c>
    </row>
    <row r="724" spans="1:17" x14ac:dyDescent="0.25">
      <c r="A724" s="2">
        <v>723</v>
      </c>
      <c r="B724" s="2" t="s">
        <v>47</v>
      </c>
      <c r="C724" s="2" t="s">
        <v>48</v>
      </c>
      <c r="D724" s="2" t="s">
        <v>74</v>
      </c>
      <c r="E724" s="2">
        <v>3</v>
      </c>
      <c r="F724" s="2">
        <v>2023</v>
      </c>
      <c r="G724" s="8" t="s">
        <v>79</v>
      </c>
      <c r="H724" s="2">
        <v>3351</v>
      </c>
      <c r="I724" s="2">
        <v>3375</v>
      </c>
      <c r="J724" s="2">
        <v>-24</v>
      </c>
      <c r="K724" s="2">
        <v>0.7</v>
      </c>
      <c r="L724" s="2" t="s">
        <v>78</v>
      </c>
      <c r="M724">
        <f t="shared" si="65"/>
        <v>3595</v>
      </c>
      <c r="N724">
        <f t="shared" si="64"/>
        <v>3523.4335993528298</v>
      </c>
      <c r="O724">
        <f t="shared" si="61"/>
        <v>24</v>
      </c>
      <c r="P724" s="6">
        <f t="shared" si="62"/>
        <v>7.162041181736795E-3</v>
      </c>
      <c r="Q724" s="6">
        <f t="shared" si="63"/>
        <v>5.1457355820002923E-2</v>
      </c>
    </row>
    <row r="725" spans="1:17" x14ac:dyDescent="0.25">
      <c r="A725" s="3">
        <v>724</v>
      </c>
      <c r="B725" s="3" t="s">
        <v>47</v>
      </c>
      <c r="C725" s="3" t="s">
        <v>48</v>
      </c>
      <c r="D725" s="3" t="s">
        <v>74</v>
      </c>
      <c r="E725" s="3">
        <v>4</v>
      </c>
      <c r="F725" s="3">
        <v>2023</v>
      </c>
      <c r="G725" s="9" t="s">
        <v>80</v>
      </c>
      <c r="H725" s="3">
        <v>3643</v>
      </c>
      <c r="I725" s="3">
        <v>3657</v>
      </c>
      <c r="J725" s="3">
        <v>-14</v>
      </c>
      <c r="K725" s="3">
        <v>0.4</v>
      </c>
      <c r="L725" s="3" t="s">
        <v>78</v>
      </c>
      <c r="M725">
        <f t="shared" si="65"/>
        <v>3142.3333333333335</v>
      </c>
      <c r="N725">
        <f t="shared" si="64"/>
        <v>3471.7035195469807</v>
      </c>
      <c r="O725">
        <f t="shared" si="61"/>
        <v>14</v>
      </c>
      <c r="P725" s="6">
        <f t="shared" si="62"/>
        <v>3.8429865495470767E-3</v>
      </c>
      <c r="Q725" s="6">
        <f t="shared" si="63"/>
        <v>4.7020719311836205E-2</v>
      </c>
    </row>
    <row r="726" spans="1:17" x14ac:dyDescent="0.25">
      <c r="A726" s="2">
        <v>725</v>
      </c>
      <c r="B726" s="2" t="s">
        <v>47</v>
      </c>
      <c r="C726" s="2" t="s">
        <v>48</v>
      </c>
      <c r="D726" s="2" t="s">
        <v>74</v>
      </c>
      <c r="E726" s="2">
        <v>5</v>
      </c>
      <c r="F726" s="2">
        <v>2023</v>
      </c>
      <c r="G726" s="8" t="s">
        <v>81</v>
      </c>
      <c r="H726" s="2">
        <v>4162</v>
      </c>
      <c r="I726" s="2">
        <v>4342</v>
      </c>
      <c r="J726" s="2">
        <v>-180</v>
      </c>
      <c r="K726" s="2">
        <v>4.3</v>
      </c>
      <c r="L726" s="2" t="s">
        <v>76</v>
      </c>
      <c r="M726">
        <f t="shared" si="65"/>
        <v>3273</v>
      </c>
      <c r="N726">
        <f t="shared" si="64"/>
        <v>3523.0924636828859</v>
      </c>
      <c r="O726">
        <f t="shared" si="61"/>
        <v>180</v>
      </c>
      <c r="P726" s="6">
        <f t="shared" si="62"/>
        <v>4.3248438250840938E-2</v>
      </c>
      <c r="Q726" s="6">
        <f t="shared" si="63"/>
        <v>0.15350973962448683</v>
      </c>
    </row>
    <row r="727" spans="1:17" x14ac:dyDescent="0.25">
      <c r="A727" s="3">
        <v>726</v>
      </c>
      <c r="B727" s="3" t="s">
        <v>47</v>
      </c>
      <c r="C727" s="3" t="s">
        <v>48</v>
      </c>
      <c r="D727" s="3" t="s">
        <v>74</v>
      </c>
      <c r="E727" s="3">
        <v>6</v>
      </c>
      <c r="F727" s="3">
        <v>2023</v>
      </c>
      <c r="G727" s="9" t="s">
        <v>82</v>
      </c>
      <c r="H727" s="3">
        <v>3769</v>
      </c>
      <c r="I727" s="3">
        <v>3776</v>
      </c>
      <c r="J727" s="3">
        <v>-7</v>
      </c>
      <c r="K727" s="3">
        <v>0.2</v>
      </c>
      <c r="L727" s="3" t="s">
        <v>78</v>
      </c>
      <c r="M727">
        <f t="shared" si="65"/>
        <v>3718.6666666666665</v>
      </c>
      <c r="N727">
        <f t="shared" si="64"/>
        <v>3714.7647245780199</v>
      </c>
      <c r="O727">
        <f t="shared" si="61"/>
        <v>7</v>
      </c>
      <c r="P727" s="6">
        <f t="shared" si="62"/>
        <v>1.8572565667285751E-3</v>
      </c>
      <c r="Q727" s="6">
        <f t="shared" si="63"/>
        <v>1.4389831632257913E-2</v>
      </c>
    </row>
    <row r="728" spans="1:17" x14ac:dyDescent="0.25">
      <c r="A728" s="2">
        <v>727</v>
      </c>
      <c r="B728" s="2" t="s">
        <v>47</v>
      </c>
      <c r="C728" s="2" t="s">
        <v>48</v>
      </c>
      <c r="D728" s="2" t="s">
        <v>74</v>
      </c>
      <c r="E728" s="2">
        <v>7</v>
      </c>
      <c r="F728" s="2">
        <v>2023</v>
      </c>
      <c r="G728" s="8" t="s">
        <v>84</v>
      </c>
      <c r="H728" s="2">
        <v>4058</v>
      </c>
      <c r="I728" s="2">
        <v>4068</v>
      </c>
      <c r="J728" s="2">
        <v>-10</v>
      </c>
      <c r="K728" s="2">
        <v>0.2</v>
      </c>
      <c r="L728" s="2" t="s">
        <v>76</v>
      </c>
      <c r="M728">
        <f t="shared" si="65"/>
        <v>3858</v>
      </c>
      <c r="N728">
        <f t="shared" si="64"/>
        <v>3731.0353072046137</v>
      </c>
      <c r="O728">
        <f t="shared" si="61"/>
        <v>10</v>
      </c>
      <c r="P728" s="6">
        <f t="shared" si="62"/>
        <v>2.4642681123706258E-3</v>
      </c>
      <c r="Q728" s="6">
        <f t="shared" si="63"/>
        <v>8.0572866632672824E-2</v>
      </c>
    </row>
    <row r="729" spans="1:17" x14ac:dyDescent="0.25">
      <c r="A729" s="3">
        <v>728</v>
      </c>
      <c r="B729" s="3" t="s">
        <v>47</v>
      </c>
      <c r="C729" s="3" t="s">
        <v>48</v>
      </c>
      <c r="D729" s="3" t="s">
        <v>74</v>
      </c>
      <c r="E729" s="3">
        <v>8</v>
      </c>
      <c r="F729" s="3">
        <v>2023</v>
      </c>
      <c r="G729" s="9" t="s">
        <v>85</v>
      </c>
      <c r="H729" s="3">
        <v>4051</v>
      </c>
      <c r="I729" s="3">
        <v>4098</v>
      </c>
      <c r="J729" s="3">
        <v>-47</v>
      </c>
      <c r="K729" s="3">
        <v>1.2</v>
      </c>
      <c r="L729" s="3" t="s">
        <v>83</v>
      </c>
      <c r="M729">
        <f t="shared" si="65"/>
        <v>3996.3333333333335</v>
      </c>
      <c r="N729">
        <f t="shared" si="64"/>
        <v>3829.1247150432291</v>
      </c>
      <c r="O729">
        <f t="shared" si="61"/>
        <v>47</v>
      </c>
      <c r="P729" s="6">
        <f t="shared" si="62"/>
        <v>1.1602073562083436E-2</v>
      </c>
      <c r="Q729" s="6">
        <f t="shared" si="63"/>
        <v>5.4770497397376175E-2</v>
      </c>
    </row>
    <row r="730" spans="1:17" x14ac:dyDescent="0.25">
      <c r="A730" s="2">
        <v>729</v>
      </c>
      <c r="B730" s="2" t="s">
        <v>47</v>
      </c>
      <c r="C730" s="2" t="s">
        <v>48</v>
      </c>
      <c r="D730" s="2" t="s">
        <v>74</v>
      </c>
      <c r="E730" s="2">
        <v>9</v>
      </c>
      <c r="F730" s="2">
        <v>2023</v>
      </c>
      <c r="G730" s="8" t="s">
        <v>86</v>
      </c>
      <c r="H730" s="2">
        <v>4079</v>
      </c>
      <c r="I730" s="2">
        <v>4261</v>
      </c>
      <c r="J730" s="2">
        <v>-182</v>
      </c>
      <c r="K730" s="2">
        <v>4.5</v>
      </c>
      <c r="L730" s="2" t="s">
        <v>76</v>
      </c>
      <c r="M730">
        <f t="shared" si="65"/>
        <v>3959.3333333333335</v>
      </c>
      <c r="N730">
        <f t="shared" si="64"/>
        <v>3895.6873005302605</v>
      </c>
      <c r="O730">
        <f t="shared" si="61"/>
        <v>182</v>
      </c>
      <c r="P730" s="6">
        <f t="shared" si="62"/>
        <v>4.4618779112527582E-2</v>
      </c>
      <c r="Q730" s="6">
        <f t="shared" si="63"/>
        <v>4.4940598055832198E-2</v>
      </c>
    </row>
    <row r="731" spans="1:17" x14ac:dyDescent="0.25">
      <c r="A731" s="3">
        <v>730</v>
      </c>
      <c r="B731" s="3" t="s">
        <v>47</v>
      </c>
      <c r="C731" s="3" t="s">
        <v>48</v>
      </c>
      <c r="D731" s="3" t="s">
        <v>74</v>
      </c>
      <c r="E731" s="3">
        <v>10</v>
      </c>
      <c r="F731" s="3">
        <v>2023</v>
      </c>
      <c r="G731" s="9" t="s">
        <v>87</v>
      </c>
      <c r="H731" s="3">
        <v>3933</v>
      </c>
      <c r="I731" s="3">
        <v>3542</v>
      </c>
      <c r="J731" s="3">
        <v>391</v>
      </c>
      <c r="K731" s="3">
        <v>9.9</v>
      </c>
      <c r="L731" s="3" t="s">
        <v>78</v>
      </c>
      <c r="M731">
        <f t="shared" si="65"/>
        <v>4062.6666666666665</v>
      </c>
      <c r="N731">
        <f t="shared" si="64"/>
        <v>3950.6811103711825</v>
      </c>
      <c r="O731">
        <f t="shared" si="61"/>
        <v>391</v>
      </c>
      <c r="P731" s="6">
        <f t="shared" si="62"/>
        <v>9.9415204678362568E-2</v>
      </c>
      <c r="Q731" s="6">
        <f t="shared" si="63"/>
        <v>4.4955785332271838E-3</v>
      </c>
    </row>
    <row r="732" spans="1:17" x14ac:dyDescent="0.25">
      <c r="A732" s="2">
        <v>731</v>
      </c>
      <c r="B732" s="2" t="s">
        <v>47</v>
      </c>
      <c r="C732" s="2" t="s">
        <v>48</v>
      </c>
      <c r="D732" s="2" t="s">
        <v>74</v>
      </c>
      <c r="E732" s="2">
        <v>11</v>
      </c>
      <c r="F732" s="2">
        <v>2023</v>
      </c>
      <c r="G732" s="8" t="s">
        <v>88</v>
      </c>
      <c r="H732" s="2">
        <v>4839</v>
      </c>
      <c r="I732" s="2">
        <v>4398</v>
      </c>
      <c r="J732" s="2">
        <v>441</v>
      </c>
      <c r="K732" s="2">
        <v>9.1</v>
      </c>
      <c r="L732" s="2" t="s">
        <v>76</v>
      </c>
      <c r="M732">
        <f t="shared" si="65"/>
        <v>4021</v>
      </c>
      <c r="N732">
        <f t="shared" si="64"/>
        <v>3945.3767772598276</v>
      </c>
      <c r="O732">
        <f t="shared" si="61"/>
        <v>441</v>
      </c>
      <c r="P732" s="6">
        <f t="shared" si="62"/>
        <v>9.1134531928084309E-2</v>
      </c>
      <c r="Q732" s="6">
        <f t="shared" si="63"/>
        <v>0.18467105243648946</v>
      </c>
    </row>
    <row r="733" spans="1:17" x14ac:dyDescent="0.25">
      <c r="A733" s="3">
        <v>732</v>
      </c>
      <c r="B733" s="3" t="s">
        <v>47</v>
      </c>
      <c r="C733" s="3" t="s">
        <v>48</v>
      </c>
      <c r="D733" s="3" t="s">
        <v>74</v>
      </c>
      <c r="E733" s="3">
        <v>12</v>
      </c>
      <c r="F733" s="3">
        <v>2023</v>
      </c>
      <c r="G733" s="9" t="s">
        <v>89</v>
      </c>
      <c r="H733" s="3">
        <v>5177</v>
      </c>
      <c r="I733" s="3">
        <v>5219</v>
      </c>
      <c r="J733" s="3">
        <v>-42</v>
      </c>
      <c r="K733" s="3">
        <v>0.8</v>
      </c>
      <c r="L733" s="3" t="s">
        <v>78</v>
      </c>
      <c r="M733">
        <f t="shared" si="65"/>
        <v>4283.666666666667</v>
      </c>
      <c r="N733">
        <f t="shared" si="64"/>
        <v>4213.4637440818788</v>
      </c>
      <c r="O733">
        <f t="shared" si="61"/>
        <v>42</v>
      </c>
      <c r="P733" s="6">
        <f t="shared" si="62"/>
        <v>8.1128066447749662E-3</v>
      </c>
      <c r="Q733" s="6">
        <f t="shared" si="63"/>
        <v>0.18611865094033633</v>
      </c>
    </row>
    <row r="734" spans="1:17" x14ac:dyDescent="0.25">
      <c r="A734" s="2">
        <v>733</v>
      </c>
      <c r="B734" s="2" t="s">
        <v>47</v>
      </c>
      <c r="C734" s="2" t="s">
        <v>48</v>
      </c>
      <c r="D734" s="2" t="s">
        <v>74</v>
      </c>
      <c r="E734" s="2">
        <v>1</v>
      </c>
      <c r="F734" s="2">
        <v>2024</v>
      </c>
      <c r="G734" s="8" t="s">
        <v>90</v>
      </c>
      <c r="H734" s="2">
        <v>3566</v>
      </c>
      <c r="I734" s="2">
        <v>3258</v>
      </c>
      <c r="J734" s="2">
        <v>308</v>
      </c>
      <c r="K734" s="2">
        <v>8.6</v>
      </c>
      <c r="L734" s="2" t="s">
        <v>76</v>
      </c>
      <c r="M734">
        <f t="shared" si="65"/>
        <v>4649.666666666667</v>
      </c>
      <c r="N734">
        <f t="shared" si="64"/>
        <v>4502.5246208573153</v>
      </c>
      <c r="O734">
        <f t="shared" si="61"/>
        <v>308</v>
      </c>
      <c r="P734" s="6">
        <f t="shared" si="62"/>
        <v>8.6371284352215361E-2</v>
      </c>
      <c r="Q734" s="6">
        <f t="shared" si="63"/>
        <v>0.26262608548999306</v>
      </c>
    </row>
    <row r="735" spans="1:17" x14ac:dyDescent="0.25">
      <c r="A735" s="3">
        <v>734</v>
      </c>
      <c r="B735" s="3" t="s">
        <v>47</v>
      </c>
      <c r="C735" s="3" t="s">
        <v>48</v>
      </c>
      <c r="D735" s="3" t="s">
        <v>74</v>
      </c>
      <c r="E735" s="3">
        <v>2</v>
      </c>
      <c r="F735" s="3">
        <v>2024</v>
      </c>
      <c r="G735" s="9" t="s">
        <v>91</v>
      </c>
      <c r="H735" s="3">
        <v>2765</v>
      </c>
      <c r="I735" s="3">
        <v>2714</v>
      </c>
      <c r="J735" s="3">
        <v>51</v>
      </c>
      <c r="K735" s="3">
        <v>1.8</v>
      </c>
      <c r="L735" s="3" t="s">
        <v>78</v>
      </c>
      <c r="M735">
        <f t="shared" si="65"/>
        <v>4527.333333333333</v>
      </c>
      <c r="N735">
        <f t="shared" si="64"/>
        <v>4221.5672346001202</v>
      </c>
      <c r="O735">
        <f t="shared" si="61"/>
        <v>51</v>
      </c>
      <c r="P735" s="6">
        <f t="shared" si="62"/>
        <v>1.8444846292947559E-2</v>
      </c>
      <c r="Q735" s="6">
        <f t="shared" si="63"/>
        <v>0.52678742661848832</v>
      </c>
    </row>
    <row r="736" spans="1:17" x14ac:dyDescent="0.25">
      <c r="A736" s="2">
        <v>735</v>
      </c>
      <c r="B736" s="2" t="s">
        <v>47</v>
      </c>
      <c r="C736" s="2" t="s">
        <v>48</v>
      </c>
      <c r="D736" s="2" t="s">
        <v>74</v>
      </c>
      <c r="E736" s="2">
        <v>3</v>
      </c>
      <c r="F736" s="2">
        <v>2024</v>
      </c>
      <c r="G736" s="8" t="s">
        <v>92</v>
      </c>
      <c r="H736" s="2">
        <v>3840</v>
      </c>
      <c r="I736" s="2">
        <v>4207</v>
      </c>
      <c r="J736" s="2">
        <v>-367</v>
      </c>
      <c r="K736" s="2">
        <v>9.6</v>
      </c>
      <c r="L736" s="2" t="s">
        <v>83</v>
      </c>
      <c r="M736">
        <f t="shared" si="65"/>
        <v>3836</v>
      </c>
      <c r="N736">
        <f t="shared" si="64"/>
        <v>3784.5970642200841</v>
      </c>
      <c r="O736">
        <f t="shared" si="61"/>
        <v>367</v>
      </c>
      <c r="P736" s="6">
        <f t="shared" si="62"/>
        <v>9.557291666666666E-2</v>
      </c>
      <c r="Q736" s="6">
        <f t="shared" si="63"/>
        <v>1.4427847859353093E-2</v>
      </c>
    </row>
    <row r="737" spans="1:17" x14ac:dyDescent="0.25">
      <c r="A737" s="3">
        <v>736</v>
      </c>
      <c r="B737" s="3" t="s">
        <v>47</v>
      </c>
      <c r="C737" s="3" t="s">
        <v>48</v>
      </c>
      <c r="D737" s="3" t="s">
        <v>74</v>
      </c>
      <c r="E737" s="3">
        <v>4</v>
      </c>
      <c r="F737" s="3">
        <v>2024</v>
      </c>
      <c r="G737" s="9" t="s">
        <v>93</v>
      </c>
      <c r="H737" s="3">
        <v>4222</v>
      </c>
      <c r="I737" s="3">
        <v>4115</v>
      </c>
      <c r="J737" s="3">
        <v>107</v>
      </c>
      <c r="K737" s="3">
        <v>2.5</v>
      </c>
      <c r="L737" s="3" t="s">
        <v>76</v>
      </c>
      <c r="M737">
        <f t="shared" si="65"/>
        <v>3390.3333333333335</v>
      </c>
      <c r="N737">
        <f t="shared" si="64"/>
        <v>3801.2179449540586</v>
      </c>
      <c r="O737">
        <f t="shared" si="61"/>
        <v>107</v>
      </c>
      <c r="P737" s="6">
        <f t="shared" si="62"/>
        <v>2.5343439128375177E-2</v>
      </c>
      <c r="Q737" s="6">
        <f t="shared" si="63"/>
        <v>9.9664153255789062E-2</v>
      </c>
    </row>
    <row r="738" spans="1:17" x14ac:dyDescent="0.25">
      <c r="A738" s="2">
        <v>737</v>
      </c>
      <c r="B738" s="2" t="s">
        <v>47</v>
      </c>
      <c r="C738" s="2" t="s">
        <v>48</v>
      </c>
      <c r="D738" s="2" t="s">
        <v>74</v>
      </c>
      <c r="E738" s="2">
        <v>5</v>
      </c>
      <c r="F738" s="2">
        <v>2024</v>
      </c>
      <c r="G738" s="8" t="s">
        <v>94</v>
      </c>
      <c r="H738" s="2">
        <v>3940</v>
      </c>
      <c r="I738" s="2">
        <v>4268</v>
      </c>
      <c r="J738" s="2">
        <v>-328</v>
      </c>
      <c r="K738" s="2">
        <v>8.3000000000000007</v>
      </c>
      <c r="L738" s="2" t="s">
        <v>76</v>
      </c>
      <c r="M738">
        <f t="shared" si="65"/>
        <v>3609</v>
      </c>
      <c r="N738">
        <f t="shared" si="64"/>
        <v>3927.452561467841</v>
      </c>
      <c r="O738">
        <f t="shared" si="61"/>
        <v>328</v>
      </c>
      <c r="P738" s="6">
        <f t="shared" si="62"/>
        <v>8.3248730964466999E-2</v>
      </c>
      <c r="Q738" s="6">
        <f t="shared" si="63"/>
        <v>3.1846290690759008E-3</v>
      </c>
    </row>
    <row r="739" spans="1:17" x14ac:dyDescent="0.25">
      <c r="A739" s="3">
        <v>738</v>
      </c>
      <c r="B739" s="3" t="s">
        <v>47</v>
      </c>
      <c r="C739" s="3" t="s">
        <v>48</v>
      </c>
      <c r="D739" s="3" t="s">
        <v>74</v>
      </c>
      <c r="E739" s="3">
        <v>6</v>
      </c>
      <c r="F739" s="3">
        <v>2024</v>
      </c>
      <c r="G739" s="9" t="s">
        <v>95</v>
      </c>
      <c r="H739" s="3">
        <v>4055</v>
      </c>
      <c r="I739" s="3">
        <v>4203</v>
      </c>
      <c r="J739" s="3">
        <v>-148</v>
      </c>
      <c r="K739" s="3">
        <v>3.6</v>
      </c>
      <c r="L739" s="3" t="s">
        <v>83</v>
      </c>
      <c r="M739">
        <f t="shared" si="65"/>
        <v>4000.6666666666665</v>
      </c>
      <c r="N739">
        <f t="shared" si="64"/>
        <v>3931.2167930274886</v>
      </c>
      <c r="O739">
        <f t="shared" si="61"/>
        <v>148</v>
      </c>
      <c r="P739" s="6">
        <f t="shared" si="62"/>
        <v>3.649815043156597E-2</v>
      </c>
      <c r="Q739" s="6">
        <f t="shared" si="63"/>
        <v>3.0526068303948554E-2</v>
      </c>
    </row>
    <row r="740" spans="1:17" x14ac:dyDescent="0.25">
      <c r="A740" s="2">
        <v>739</v>
      </c>
      <c r="B740" s="2" t="s">
        <v>47</v>
      </c>
      <c r="C740" s="2" t="s">
        <v>48</v>
      </c>
      <c r="D740" s="2" t="s">
        <v>74</v>
      </c>
      <c r="E740" s="2">
        <v>7</v>
      </c>
      <c r="F740" s="2">
        <v>2024</v>
      </c>
      <c r="G740" s="8" t="s">
        <v>96</v>
      </c>
      <c r="H740" s="2">
        <v>4472</v>
      </c>
      <c r="I740" s="2">
        <v>4143</v>
      </c>
      <c r="J740" s="2">
        <v>329</v>
      </c>
      <c r="K740" s="2">
        <v>7.4</v>
      </c>
      <c r="L740" s="2" t="s">
        <v>76</v>
      </c>
      <c r="M740">
        <f t="shared" si="65"/>
        <v>4072.3333333333335</v>
      </c>
      <c r="N740">
        <f t="shared" si="64"/>
        <v>3968.3517551192417</v>
      </c>
      <c r="O740">
        <f t="shared" si="61"/>
        <v>329</v>
      </c>
      <c r="P740" s="6">
        <f t="shared" si="62"/>
        <v>7.3568872987477635E-2</v>
      </c>
      <c r="Q740" s="6">
        <f t="shared" si="63"/>
        <v>0.1126225950091141</v>
      </c>
    </row>
    <row r="741" spans="1:17" x14ac:dyDescent="0.25">
      <c r="A741" s="3">
        <v>740</v>
      </c>
      <c r="B741" s="3" t="s">
        <v>47</v>
      </c>
      <c r="C741" s="3" t="s">
        <v>48</v>
      </c>
      <c r="D741" s="3" t="s">
        <v>74</v>
      </c>
      <c r="E741" s="3">
        <v>8</v>
      </c>
      <c r="F741" s="3">
        <v>2024</v>
      </c>
      <c r="G741" s="9" t="s">
        <v>97</v>
      </c>
      <c r="H741" s="3">
        <v>3624</v>
      </c>
      <c r="I741" s="3">
        <v>3981</v>
      </c>
      <c r="J741" s="3">
        <v>-357</v>
      </c>
      <c r="K741" s="3">
        <v>9.9</v>
      </c>
      <c r="L741" s="3" t="s">
        <v>76</v>
      </c>
      <c r="M741">
        <f t="shared" si="65"/>
        <v>4155.666666666667</v>
      </c>
      <c r="N741">
        <f t="shared" si="64"/>
        <v>4119.4462285834688</v>
      </c>
      <c r="O741">
        <f t="shared" si="61"/>
        <v>357</v>
      </c>
      <c r="P741" s="6">
        <f t="shared" si="62"/>
        <v>9.8509933774834441E-2</v>
      </c>
      <c r="Q741" s="6">
        <f t="shared" si="63"/>
        <v>0.13671253548108964</v>
      </c>
    </row>
    <row r="742" spans="1:17" x14ac:dyDescent="0.25">
      <c r="A742" s="2">
        <v>741</v>
      </c>
      <c r="B742" s="2" t="s">
        <v>47</v>
      </c>
      <c r="C742" s="2" t="s">
        <v>48</v>
      </c>
      <c r="D742" s="2" t="s">
        <v>74</v>
      </c>
      <c r="E742" s="2">
        <v>9</v>
      </c>
      <c r="F742" s="2">
        <v>2024</v>
      </c>
      <c r="G742" s="8" t="s">
        <v>98</v>
      </c>
      <c r="H742" s="2">
        <v>3826</v>
      </c>
      <c r="I742" s="2">
        <v>4000</v>
      </c>
      <c r="J742" s="2">
        <v>-174</v>
      </c>
      <c r="K742" s="2">
        <v>4.5</v>
      </c>
      <c r="L742" s="2" t="s">
        <v>78</v>
      </c>
      <c r="M742">
        <f t="shared" si="65"/>
        <v>4050.3333333333335</v>
      </c>
      <c r="N742">
        <f t="shared" si="64"/>
        <v>3970.8123600084282</v>
      </c>
      <c r="O742">
        <f t="shared" si="61"/>
        <v>174</v>
      </c>
      <c r="P742" s="6">
        <f t="shared" si="62"/>
        <v>4.5478306325143755E-2</v>
      </c>
      <c r="Q742" s="6">
        <f t="shared" si="63"/>
        <v>3.7849545219139621E-2</v>
      </c>
    </row>
    <row r="743" spans="1:17" x14ac:dyDescent="0.25">
      <c r="A743" s="3">
        <v>742</v>
      </c>
      <c r="B743" s="3" t="s">
        <v>47</v>
      </c>
      <c r="C743" s="3" t="s">
        <v>48</v>
      </c>
      <c r="D743" s="3" t="s">
        <v>74</v>
      </c>
      <c r="E743" s="3">
        <v>10</v>
      </c>
      <c r="F743" s="3">
        <v>2024</v>
      </c>
      <c r="G743" s="9" t="s">
        <v>99</v>
      </c>
      <c r="H743" s="3">
        <v>4515</v>
      </c>
      <c r="I743" s="3">
        <v>4746</v>
      </c>
      <c r="J743" s="3">
        <v>-231</v>
      </c>
      <c r="K743" s="3">
        <v>5.0999999999999996</v>
      </c>
      <c r="L743" s="3" t="s">
        <v>76</v>
      </c>
      <c r="M743">
        <f t="shared" si="65"/>
        <v>3974</v>
      </c>
      <c r="N743">
        <f t="shared" si="64"/>
        <v>3927.3686520058991</v>
      </c>
      <c r="O743">
        <f t="shared" si="61"/>
        <v>231</v>
      </c>
      <c r="P743" s="6">
        <f t="shared" si="62"/>
        <v>5.1162790697674418E-2</v>
      </c>
      <c r="Q743" s="6">
        <f t="shared" si="63"/>
        <v>0.13015090763988946</v>
      </c>
    </row>
    <row r="744" spans="1:17" x14ac:dyDescent="0.25">
      <c r="A744" s="2">
        <v>743</v>
      </c>
      <c r="B744" s="2" t="s">
        <v>47</v>
      </c>
      <c r="C744" s="2" t="s">
        <v>48</v>
      </c>
      <c r="D744" s="2" t="s">
        <v>74</v>
      </c>
      <c r="E744" s="2">
        <v>11</v>
      </c>
      <c r="F744" s="2">
        <v>2024</v>
      </c>
      <c r="G744" s="8" t="s">
        <v>100</v>
      </c>
      <c r="H744" s="2">
        <v>4707</v>
      </c>
      <c r="I744" s="2">
        <v>4913</v>
      </c>
      <c r="J744" s="2">
        <v>-206</v>
      </c>
      <c r="K744" s="2">
        <v>4.4000000000000004</v>
      </c>
      <c r="L744" s="2" t="s">
        <v>76</v>
      </c>
      <c r="M744">
        <f t="shared" si="65"/>
        <v>3988.3333333333335</v>
      </c>
      <c r="N744">
        <f t="shared" si="64"/>
        <v>4103.6580564041287</v>
      </c>
      <c r="O744">
        <f t="shared" si="61"/>
        <v>206</v>
      </c>
      <c r="P744" s="6">
        <f t="shared" si="62"/>
        <v>4.3764605906097299E-2</v>
      </c>
      <c r="Q744" s="6">
        <f t="shared" si="63"/>
        <v>0.12817972033054414</v>
      </c>
    </row>
    <row r="745" spans="1:17" x14ac:dyDescent="0.25">
      <c r="A745" s="3">
        <v>744</v>
      </c>
      <c r="B745" s="3" t="s">
        <v>47</v>
      </c>
      <c r="C745" s="3" t="s">
        <v>48</v>
      </c>
      <c r="D745" s="3" t="s">
        <v>74</v>
      </c>
      <c r="E745" s="3">
        <v>12</v>
      </c>
      <c r="F745" s="3">
        <v>2024</v>
      </c>
      <c r="G745" s="9" t="s">
        <v>101</v>
      </c>
      <c r="H745" s="3">
        <v>4977</v>
      </c>
      <c r="I745" s="3">
        <v>5298</v>
      </c>
      <c r="J745" s="3">
        <v>-321</v>
      </c>
      <c r="K745" s="3">
        <v>6.4</v>
      </c>
      <c r="L745" s="3" t="s">
        <v>78</v>
      </c>
      <c r="M745">
        <f t="shared" si="65"/>
        <v>4349.333333333333</v>
      </c>
      <c r="N745">
        <f t="shared" si="64"/>
        <v>4284.6606394828905</v>
      </c>
      <c r="O745">
        <f t="shared" si="61"/>
        <v>321</v>
      </c>
      <c r="P745" s="6">
        <f t="shared" si="62"/>
        <v>6.4496684749849306E-2</v>
      </c>
      <c r="Q745" s="6">
        <f t="shared" si="63"/>
        <v>0.13910776783546505</v>
      </c>
    </row>
    <row r="746" spans="1:17" x14ac:dyDescent="0.25">
      <c r="A746" s="2">
        <v>745</v>
      </c>
      <c r="B746" s="2" t="s">
        <v>47</v>
      </c>
      <c r="C746" s="2" t="s">
        <v>48</v>
      </c>
      <c r="D746" s="2" t="s">
        <v>102</v>
      </c>
      <c r="E746" s="2">
        <v>1</v>
      </c>
      <c r="F746" s="2">
        <v>2023</v>
      </c>
      <c r="G746" s="8" t="s">
        <v>75</v>
      </c>
      <c r="H746" s="2">
        <v>2719</v>
      </c>
      <c r="I746" s="2">
        <v>2531</v>
      </c>
      <c r="J746" s="2">
        <v>188</v>
      </c>
      <c r="K746" s="2">
        <v>6.9</v>
      </c>
      <c r="L746" s="2" t="s">
        <v>78</v>
      </c>
      <c r="M746">
        <f t="shared" si="65"/>
        <v>4733</v>
      </c>
      <c r="N746">
        <f t="shared" si="64"/>
        <v>4492.3624476380228</v>
      </c>
      <c r="O746">
        <f t="shared" si="61"/>
        <v>188</v>
      </c>
      <c r="P746" s="6">
        <f t="shared" si="62"/>
        <v>6.9143067304155939E-2</v>
      </c>
      <c r="Q746" s="6">
        <f t="shared" si="63"/>
        <v>0.65221127165797088</v>
      </c>
    </row>
    <row r="747" spans="1:17" x14ac:dyDescent="0.25">
      <c r="A747" s="3">
        <v>746</v>
      </c>
      <c r="B747" s="3" t="s">
        <v>47</v>
      </c>
      <c r="C747" s="3" t="s">
        <v>48</v>
      </c>
      <c r="D747" s="3" t="s">
        <v>102</v>
      </c>
      <c r="E747" s="3">
        <v>2</v>
      </c>
      <c r="F747" s="3">
        <v>2023</v>
      </c>
      <c r="G747" s="9" t="s">
        <v>77</v>
      </c>
      <c r="H747" s="3">
        <v>2926</v>
      </c>
      <c r="I747" s="3">
        <v>3057</v>
      </c>
      <c r="J747" s="3">
        <v>-131</v>
      </c>
      <c r="K747" s="3">
        <v>4.5</v>
      </c>
      <c r="L747" s="3" t="s">
        <v>78</v>
      </c>
      <c r="M747">
        <f t="shared" si="65"/>
        <v>4134.333333333333</v>
      </c>
      <c r="N747">
        <f t="shared" si="64"/>
        <v>3960.3537133466157</v>
      </c>
      <c r="O747">
        <f t="shared" si="61"/>
        <v>131</v>
      </c>
      <c r="P747" s="6">
        <f t="shared" si="62"/>
        <v>4.4771018455228982E-2</v>
      </c>
      <c r="Q747" s="6">
        <f t="shared" si="63"/>
        <v>0.35350434495783173</v>
      </c>
    </row>
    <row r="748" spans="1:17" x14ac:dyDescent="0.25">
      <c r="A748" s="2">
        <v>747</v>
      </c>
      <c r="B748" s="2" t="s">
        <v>47</v>
      </c>
      <c r="C748" s="2" t="s">
        <v>48</v>
      </c>
      <c r="D748" s="2" t="s">
        <v>102</v>
      </c>
      <c r="E748" s="2">
        <v>3</v>
      </c>
      <c r="F748" s="2">
        <v>2023</v>
      </c>
      <c r="G748" s="8" t="s">
        <v>79</v>
      </c>
      <c r="H748" s="2">
        <v>2724</v>
      </c>
      <c r="I748" s="2">
        <v>2811</v>
      </c>
      <c r="J748" s="2">
        <v>-87</v>
      </c>
      <c r="K748" s="2">
        <v>3.2</v>
      </c>
      <c r="L748" s="2" t="s">
        <v>83</v>
      </c>
      <c r="M748">
        <f t="shared" si="65"/>
        <v>3540.6666666666665</v>
      </c>
      <c r="N748">
        <f t="shared" si="64"/>
        <v>3650.0475993426307</v>
      </c>
      <c r="O748">
        <f t="shared" si="61"/>
        <v>87</v>
      </c>
      <c r="P748" s="6">
        <f t="shared" si="62"/>
        <v>3.1938325991189426E-2</v>
      </c>
      <c r="Q748" s="6">
        <f t="shared" si="63"/>
        <v>0.33995873690992318</v>
      </c>
    </row>
    <row r="749" spans="1:17" x14ac:dyDescent="0.25">
      <c r="A749" s="3">
        <v>748</v>
      </c>
      <c r="B749" s="3" t="s">
        <v>47</v>
      </c>
      <c r="C749" s="3" t="s">
        <v>48</v>
      </c>
      <c r="D749" s="3" t="s">
        <v>102</v>
      </c>
      <c r="E749" s="3">
        <v>4</v>
      </c>
      <c r="F749" s="3">
        <v>2023</v>
      </c>
      <c r="G749" s="9" t="s">
        <v>80</v>
      </c>
      <c r="H749" s="3">
        <v>3436</v>
      </c>
      <c r="I749" s="3">
        <v>3699</v>
      </c>
      <c r="J749" s="3">
        <v>-263</v>
      </c>
      <c r="K749" s="3">
        <v>7.7</v>
      </c>
      <c r="L749" s="3" t="s">
        <v>78</v>
      </c>
      <c r="M749">
        <f t="shared" si="65"/>
        <v>2789.6666666666665</v>
      </c>
      <c r="N749">
        <f t="shared" si="64"/>
        <v>3372.233319539841</v>
      </c>
      <c r="O749">
        <f t="shared" si="61"/>
        <v>263</v>
      </c>
      <c r="P749" s="6">
        <f t="shared" si="62"/>
        <v>7.6542491268917351E-2</v>
      </c>
      <c r="Q749" s="6">
        <f t="shared" si="63"/>
        <v>1.8558405256158039E-2</v>
      </c>
    </row>
    <row r="750" spans="1:17" x14ac:dyDescent="0.25">
      <c r="A750" s="2">
        <v>749</v>
      </c>
      <c r="B750" s="2" t="s">
        <v>47</v>
      </c>
      <c r="C750" s="2" t="s">
        <v>48</v>
      </c>
      <c r="D750" s="2" t="s">
        <v>102</v>
      </c>
      <c r="E750" s="2">
        <v>5</v>
      </c>
      <c r="F750" s="2">
        <v>2023</v>
      </c>
      <c r="G750" s="8" t="s">
        <v>81</v>
      </c>
      <c r="H750" s="2">
        <v>3180</v>
      </c>
      <c r="I750" s="2">
        <v>2904</v>
      </c>
      <c r="J750" s="2">
        <v>276</v>
      </c>
      <c r="K750" s="2">
        <v>8.6999999999999993</v>
      </c>
      <c r="L750" s="2" t="s">
        <v>83</v>
      </c>
      <c r="M750">
        <f t="shared" si="65"/>
        <v>3028.6666666666665</v>
      </c>
      <c r="N750">
        <f t="shared" si="64"/>
        <v>3391.3633236778887</v>
      </c>
      <c r="O750">
        <f t="shared" si="61"/>
        <v>276</v>
      </c>
      <c r="P750" s="6">
        <f t="shared" si="62"/>
        <v>8.6792452830188674E-2</v>
      </c>
      <c r="Q750" s="6">
        <f t="shared" si="63"/>
        <v>6.6466453986757462E-2</v>
      </c>
    </row>
    <row r="751" spans="1:17" x14ac:dyDescent="0.25">
      <c r="A751" s="3">
        <v>750</v>
      </c>
      <c r="B751" s="3" t="s">
        <v>47</v>
      </c>
      <c r="C751" s="3" t="s">
        <v>48</v>
      </c>
      <c r="D751" s="3" t="s">
        <v>102</v>
      </c>
      <c r="E751" s="3">
        <v>6</v>
      </c>
      <c r="F751" s="3">
        <v>2023</v>
      </c>
      <c r="G751" s="9" t="s">
        <v>82</v>
      </c>
      <c r="H751" s="3">
        <v>3155</v>
      </c>
      <c r="I751" s="3">
        <v>3216</v>
      </c>
      <c r="J751" s="3">
        <v>-61</v>
      </c>
      <c r="K751" s="3">
        <v>1.9</v>
      </c>
      <c r="L751" s="3" t="s">
        <v>83</v>
      </c>
      <c r="M751">
        <f t="shared" si="65"/>
        <v>3113.3333333333335</v>
      </c>
      <c r="N751">
        <f t="shared" si="64"/>
        <v>3327.9543265745219</v>
      </c>
      <c r="O751">
        <f t="shared" si="61"/>
        <v>61</v>
      </c>
      <c r="P751" s="6">
        <f t="shared" si="62"/>
        <v>1.9334389857369256E-2</v>
      </c>
      <c r="Q751" s="6">
        <f t="shared" si="63"/>
        <v>5.4819120942796173E-2</v>
      </c>
    </row>
    <row r="752" spans="1:17" x14ac:dyDescent="0.25">
      <c r="A752" s="2">
        <v>751</v>
      </c>
      <c r="B752" s="2" t="s">
        <v>47</v>
      </c>
      <c r="C752" s="2" t="s">
        <v>48</v>
      </c>
      <c r="D752" s="2" t="s">
        <v>102</v>
      </c>
      <c r="E752" s="2">
        <v>7</v>
      </c>
      <c r="F752" s="2">
        <v>2023</v>
      </c>
      <c r="G752" s="8" t="s">
        <v>84</v>
      </c>
      <c r="H752" s="2">
        <v>3800</v>
      </c>
      <c r="I752" s="2">
        <v>3605</v>
      </c>
      <c r="J752" s="2">
        <v>195</v>
      </c>
      <c r="K752" s="2">
        <v>5.0999999999999996</v>
      </c>
      <c r="L752" s="2" t="s">
        <v>78</v>
      </c>
      <c r="M752">
        <f t="shared" si="65"/>
        <v>3257</v>
      </c>
      <c r="N752">
        <f t="shared" si="64"/>
        <v>3276.0680286021652</v>
      </c>
      <c r="O752">
        <f t="shared" si="61"/>
        <v>195</v>
      </c>
      <c r="P752" s="6">
        <f t="shared" si="62"/>
        <v>5.131578947368421E-2</v>
      </c>
      <c r="Q752" s="6">
        <f t="shared" si="63"/>
        <v>0.13787683457837757</v>
      </c>
    </row>
    <row r="753" spans="1:17" x14ac:dyDescent="0.25">
      <c r="A753" s="3">
        <v>752</v>
      </c>
      <c r="B753" s="3" t="s">
        <v>47</v>
      </c>
      <c r="C753" s="3" t="s">
        <v>48</v>
      </c>
      <c r="D753" s="3" t="s">
        <v>102</v>
      </c>
      <c r="E753" s="3">
        <v>8</v>
      </c>
      <c r="F753" s="3">
        <v>2023</v>
      </c>
      <c r="G753" s="9" t="s">
        <v>85</v>
      </c>
      <c r="H753" s="3">
        <v>3311</v>
      </c>
      <c r="I753" s="3">
        <v>3135</v>
      </c>
      <c r="J753" s="3">
        <v>176</v>
      </c>
      <c r="K753" s="3">
        <v>5.3</v>
      </c>
      <c r="L753" s="3" t="s">
        <v>78</v>
      </c>
      <c r="M753">
        <f t="shared" si="65"/>
        <v>3378.3333333333335</v>
      </c>
      <c r="N753">
        <f t="shared" si="64"/>
        <v>3433.2476200215156</v>
      </c>
      <c r="O753">
        <f t="shared" si="61"/>
        <v>176</v>
      </c>
      <c r="P753" s="6">
        <f t="shared" si="62"/>
        <v>5.3156146179401995E-2</v>
      </c>
      <c r="Q753" s="6">
        <f t="shared" si="63"/>
        <v>3.6921661136066312E-2</v>
      </c>
    </row>
    <row r="754" spans="1:17" x14ac:dyDescent="0.25">
      <c r="A754" s="2">
        <v>753</v>
      </c>
      <c r="B754" s="2" t="s">
        <v>47</v>
      </c>
      <c r="C754" s="2" t="s">
        <v>48</v>
      </c>
      <c r="D754" s="2" t="s">
        <v>102</v>
      </c>
      <c r="E754" s="2">
        <v>9</v>
      </c>
      <c r="F754" s="2">
        <v>2023</v>
      </c>
      <c r="G754" s="8" t="s">
        <v>86</v>
      </c>
      <c r="H754" s="2">
        <v>3427</v>
      </c>
      <c r="I754" s="2">
        <v>3616</v>
      </c>
      <c r="J754" s="2">
        <v>-189</v>
      </c>
      <c r="K754" s="2">
        <v>5.5</v>
      </c>
      <c r="L754" s="2" t="s">
        <v>78</v>
      </c>
      <c r="M754">
        <f t="shared" si="65"/>
        <v>3422</v>
      </c>
      <c r="N754">
        <f t="shared" si="64"/>
        <v>3396.5733340150609</v>
      </c>
      <c r="O754">
        <f t="shared" si="61"/>
        <v>189</v>
      </c>
      <c r="P754" s="6">
        <f t="shared" si="62"/>
        <v>5.5150277210388093E-2</v>
      </c>
      <c r="Q754" s="6">
        <f t="shared" si="63"/>
        <v>8.8785135643242082E-3</v>
      </c>
    </row>
    <row r="755" spans="1:17" x14ac:dyDescent="0.25">
      <c r="A755" s="3">
        <v>754</v>
      </c>
      <c r="B755" s="3" t="s">
        <v>47</v>
      </c>
      <c r="C755" s="3" t="s">
        <v>48</v>
      </c>
      <c r="D755" s="3" t="s">
        <v>102</v>
      </c>
      <c r="E755" s="3">
        <v>10</v>
      </c>
      <c r="F755" s="3">
        <v>2023</v>
      </c>
      <c r="G755" s="9" t="s">
        <v>87</v>
      </c>
      <c r="H755" s="3">
        <v>3556</v>
      </c>
      <c r="I755" s="3">
        <v>3406</v>
      </c>
      <c r="J755" s="3">
        <v>150</v>
      </c>
      <c r="K755" s="3">
        <v>4.2</v>
      </c>
      <c r="L755" s="3" t="s">
        <v>83</v>
      </c>
      <c r="M755">
        <f t="shared" si="65"/>
        <v>3512.6666666666665</v>
      </c>
      <c r="N755">
        <f t="shared" si="64"/>
        <v>3405.7013338105426</v>
      </c>
      <c r="O755">
        <f t="shared" si="61"/>
        <v>150</v>
      </c>
      <c r="P755" s="6">
        <f t="shared" si="62"/>
        <v>4.2182227221597299E-2</v>
      </c>
      <c r="Q755" s="6">
        <f t="shared" si="63"/>
        <v>4.2266216588711318E-2</v>
      </c>
    </row>
    <row r="756" spans="1:17" x14ac:dyDescent="0.25">
      <c r="A756" s="2">
        <v>755</v>
      </c>
      <c r="B756" s="2" t="s">
        <v>47</v>
      </c>
      <c r="C756" s="2" t="s">
        <v>48</v>
      </c>
      <c r="D756" s="2" t="s">
        <v>102</v>
      </c>
      <c r="E756" s="2">
        <v>11</v>
      </c>
      <c r="F756" s="2">
        <v>2023</v>
      </c>
      <c r="G756" s="8" t="s">
        <v>88</v>
      </c>
      <c r="H756" s="2">
        <v>4111</v>
      </c>
      <c r="I756" s="2">
        <v>4174</v>
      </c>
      <c r="J756" s="2">
        <v>-63</v>
      </c>
      <c r="K756" s="2">
        <v>1.5</v>
      </c>
      <c r="L756" s="2" t="s">
        <v>83</v>
      </c>
      <c r="M756">
        <f t="shared" si="65"/>
        <v>3431.3333333333335</v>
      </c>
      <c r="N756">
        <f t="shared" si="64"/>
        <v>3450.7909336673792</v>
      </c>
      <c r="O756">
        <f t="shared" si="61"/>
        <v>63</v>
      </c>
      <c r="P756" s="6">
        <f t="shared" si="62"/>
        <v>1.532473850644612E-2</v>
      </c>
      <c r="Q756" s="6">
        <f t="shared" si="63"/>
        <v>0.16059573493860879</v>
      </c>
    </row>
    <row r="757" spans="1:17" x14ac:dyDescent="0.25">
      <c r="A757" s="3">
        <v>756</v>
      </c>
      <c r="B757" s="3" t="s">
        <v>47</v>
      </c>
      <c r="C757" s="3" t="s">
        <v>48</v>
      </c>
      <c r="D757" s="3" t="s">
        <v>102</v>
      </c>
      <c r="E757" s="3">
        <v>12</v>
      </c>
      <c r="F757" s="3">
        <v>2023</v>
      </c>
      <c r="G757" s="9" t="s">
        <v>89</v>
      </c>
      <c r="H757" s="3">
        <v>4519</v>
      </c>
      <c r="I757" s="3">
        <v>4281</v>
      </c>
      <c r="J757" s="3">
        <v>238</v>
      </c>
      <c r="K757" s="3">
        <v>5.3</v>
      </c>
      <c r="L757" s="3" t="s">
        <v>78</v>
      </c>
      <c r="M757">
        <f t="shared" si="65"/>
        <v>3698</v>
      </c>
      <c r="N757">
        <f t="shared" si="64"/>
        <v>3648.8536535671656</v>
      </c>
      <c r="O757">
        <f t="shared" si="61"/>
        <v>238</v>
      </c>
      <c r="P757" s="6">
        <f t="shared" si="62"/>
        <v>5.2666519141402968E-2</v>
      </c>
      <c r="Q757" s="6">
        <f t="shared" si="63"/>
        <v>0.19255285382448206</v>
      </c>
    </row>
    <row r="758" spans="1:17" x14ac:dyDescent="0.25">
      <c r="A758" s="2">
        <v>757</v>
      </c>
      <c r="B758" s="2" t="s">
        <v>47</v>
      </c>
      <c r="C758" s="2" t="s">
        <v>48</v>
      </c>
      <c r="D758" s="2" t="s">
        <v>102</v>
      </c>
      <c r="E758" s="2">
        <v>1</v>
      </c>
      <c r="F758" s="2">
        <v>2024</v>
      </c>
      <c r="G758" s="8" t="s">
        <v>90</v>
      </c>
      <c r="H758" s="2">
        <v>3065</v>
      </c>
      <c r="I758" s="2">
        <v>3078</v>
      </c>
      <c r="J758" s="2">
        <v>-13</v>
      </c>
      <c r="K758" s="2">
        <v>0.4</v>
      </c>
      <c r="L758" s="2" t="s">
        <v>76</v>
      </c>
      <c r="M758">
        <f t="shared" si="65"/>
        <v>4062</v>
      </c>
      <c r="N758">
        <f t="shared" si="64"/>
        <v>3909.8975574970154</v>
      </c>
      <c r="O758">
        <f t="shared" si="61"/>
        <v>13</v>
      </c>
      <c r="P758" s="6">
        <f t="shared" si="62"/>
        <v>4.2414355628058731E-3</v>
      </c>
      <c r="Q758" s="6">
        <f t="shared" si="63"/>
        <v>0.2756598882535124</v>
      </c>
    </row>
    <row r="759" spans="1:17" x14ac:dyDescent="0.25">
      <c r="A759" s="3">
        <v>758</v>
      </c>
      <c r="B759" s="3" t="s">
        <v>47</v>
      </c>
      <c r="C759" s="3" t="s">
        <v>48</v>
      </c>
      <c r="D759" s="3" t="s">
        <v>102</v>
      </c>
      <c r="E759" s="3">
        <v>2</v>
      </c>
      <c r="F759" s="3">
        <v>2024</v>
      </c>
      <c r="G759" s="9" t="s">
        <v>91</v>
      </c>
      <c r="H759" s="3">
        <v>2521</v>
      </c>
      <c r="I759" s="3">
        <v>2299</v>
      </c>
      <c r="J759" s="3">
        <v>222</v>
      </c>
      <c r="K759" s="3">
        <v>8.8000000000000007</v>
      </c>
      <c r="L759" s="3" t="s">
        <v>83</v>
      </c>
      <c r="M759">
        <f t="shared" si="65"/>
        <v>3898.3333333333335</v>
      </c>
      <c r="N759">
        <f t="shared" si="64"/>
        <v>3656.4282902479108</v>
      </c>
      <c r="O759">
        <f t="shared" si="61"/>
        <v>222</v>
      </c>
      <c r="P759" s="6">
        <f t="shared" si="62"/>
        <v>8.8060293534311787E-2</v>
      </c>
      <c r="Q759" s="6">
        <f t="shared" si="63"/>
        <v>0.4503880564251927</v>
      </c>
    </row>
    <row r="760" spans="1:17" x14ac:dyDescent="0.25">
      <c r="A760" s="2">
        <v>759</v>
      </c>
      <c r="B760" s="2" t="s">
        <v>47</v>
      </c>
      <c r="C760" s="2" t="s">
        <v>48</v>
      </c>
      <c r="D760" s="2" t="s">
        <v>102</v>
      </c>
      <c r="E760" s="2">
        <v>3</v>
      </c>
      <c r="F760" s="2">
        <v>2024</v>
      </c>
      <c r="G760" s="8" t="s">
        <v>92</v>
      </c>
      <c r="H760" s="2">
        <v>3348</v>
      </c>
      <c r="I760" s="2">
        <v>3623</v>
      </c>
      <c r="J760" s="2">
        <v>-275</v>
      </c>
      <c r="K760" s="2">
        <v>8.1999999999999993</v>
      </c>
      <c r="L760" s="2" t="s">
        <v>83</v>
      </c>
      <c r="M760">
        <f t="shared" si="65"/>
        <v>3368.3333333333335</v>
      </c>
      <c r="N760">
        <f t="shared" si="64"/>
        <v>3315.7998031735369</v>
      </c>
      <c r="O760">
        <f t="shared" si="61"/>
        <v>275</v>
      </c>
      <c r="P760" s="6">
        <f t="shared" si="62"/>
        <v>8.2138590203106335E-2</v>
      </c>
      <c r="Q760" s="6">
        <f t="shared" si="63"/>
        <v>9.6177409875935101E-3</v>
      </c>
    </row>
    <row r="761" spans="1:17" x14ac:dyDescent="0.25">
      <c r="A761" s="3">
        <v>760</v>
      </c>
      <c r="B761" s="3" t="s">
        <v>47</v>
      </c>
      <c r="C761" s="3" t="s">
        <v>48</v>
      </c>
      <c r="D761" s="3" t="s">
        <v>102</v>
      </c>
      <c r="E761" s="3">
        <v>4</v>
      </c>
      <c r="F761" s="3">
        <v>2024</v>
      </c>
      <c r="G761" s="9" t="s">
        <v>93</v>
      </c>
      <c r="H761" s="3">
        <v>3368</v>
      </c>
      <c r="I761" s="3">
        <v>3405</v>
      </c>
      <c r="J761" s="3">
        <v>-37</v>
      </c>
      <c r="K761" s="3">
        <v>1.1000000000000001</v>
      </c>
      <c r="L761" s="3" t="s">
        <v>78</v>
      </c>
      <c r="M761">
        <f t="shared" si="65"/>
        <v>2978</v>
      </c>
      <c r="N761">
        <f t="shared" si="64"/>
        <v>3325.4598622214758</v>
      </c>
      <c r="O761">
        <f t="shared" si="61"/>
        <v>37</v>
      </c>
      <c r="P761" s="6">
        <f t="shared" si="62"/>
        <v>1.0985748218527316E-2</v>
      </c>
      <c r="Q761" s="6">
        <f t="shared" si="63"/>
        <v>1.2630682238279168E-2</v>
      </c>
    </row>
    <row r="762" spans="1:17" x14ac:dyDescent="0.25">
      <c r="A762" s="2">
        <v>761</v>
      </c>
      <c r="B762" s="2" t="s">
        <v>47</v>
      </c>
      <c r="C762" s="2" t="s">
        <v>48</v>
      </c>
      <c r="D762" s="2" t="s">
        <v>102</v>
      </c>
      <c r="E762" s="2">
        <v>5</v>
      </c>
      <c r="F762" s="2">
        <v>2024</v>
      </c>
      <c r="G762" s="8" t="s">
        <v>94</v>
      </c>
      <c r="H762" s="2">
        <v>3775</v>
      </c>
      <c r="I762" s="2">
        <v>4108</v>
      </c>
      <c r="J762" s="2">
        <v>-333</v>
      </c>
      <c r="K762" s="2">
        <v>8.8000000000000007</v>
      </c>
      <c r="L762" s="2" t="s">
        <v>83</v>
      </c>
      <c r="M762">
        <f t="shared" si="65"/>
        <v>3079</v>
      </c>
      <c r="N762">
        <f t="shared" si="64"/>
        <v>3338.2219035550329</v>
      </c>
      <c r="O762">
        <f t="shared" si="61"/>
        <v>333</v>
      </c>
      <c r="P762" s="6">
        <f t="shared" si="62"/>
        <v>8.8211920529801327E-2</v>
      </c>
      <c r="Q762" s="6">
        <f t="shared" si="63"/>
        <v>0.1157028070052893</v>
      </c>
    </row>
    <row r="763" spans="1:17" x14ac:dyDescent="0.25">
      <c r="A763" s="3">
        <v>762</v>
      </c>
      <c r="B763" s="3" t="s">
        <v>47</v>
      </c>
      <c r="C763" s="3" t="s">
        <v>48</v>
      </c>
      <c r="D763" s="3" t="s">
        <v>102</v>
      </c>
      <c r="E763" s="3">
        <v>6</v>
      </c>
      <c r="F763" s="3">
        <v>2024</v>
      </c>
      <c r="G763" s="9" t="s">
        <v>95</v>
      </c>
      <c r="H763" s="3">
        <v>3451</v>
      </c>
      <c r="I763" s="3">
        <v>3467</v>
      </c>
      <c r="J763" s="3">
        <v>-16</v>
      </c>
      <c r="K763" s="3">
        <v>0.5</v>
      </c>
      <c r="L763" s="3" t="s">
        <v>83</v>
      </c>
      <c r="M763">
        <f t="shared" si="65"/>
        <v>3497</v>
      </c>
      <c r="N763">
        <f t="shared" si="64"/>
        <v>3469.255332488523</v>
      </c>
      <c r="O763">
        <f t="shared" si="61"/>
        <v>16</v>
      </c>
      <c r="P763" s="6">
        <f t="shared" si="62"/>
        <v>4.6363372935381052E-3</v>
      </c>
      <c r="Q763" s="6">
        <f t="shared" si="63"/>
        <v>5.2898674264048049E-3</v>
      </c>
    </row>
    <row r="764" spans="1:17" x14ac:dyDescent="0.25">
      <c r="A764" s="2">
        <v>763</v>
      </c>
      <c r="B764" s="2" t="s">
        <v>47</v>
      </c>
      <c r="C764" s="2" t="s">
        <v>48</v>
      </c>
      <c r="D764" s="2" t="s">
        <v>102</v>
      </c>
      <c r="E764" s="2">
        <v>7</v>
      </c>
      <c r="F764" s="2">
        <v>2024</v>
      </c>
      <c r="G764" s="8" t="s">
        <v>96</v>
      </c>
      <c r="H764" s="2">
        <v>3418</v>
      </c>
      <c r="I764" s="2">
        <v>3178</v>
      </c>
      <c r="J764" s="2">
        <v>240</v>
      </c>
      <c r="K764" s="2">
        <v>7</v>
      </c>
      <c r="L764" s="2" t="s">
        <v>76</v>
      </c>
      <c r="M764">
        <f t="shared" si="65"/>
        <v>3531.3333333333335</v>
      </c>
      <c r="N764">
        <f t="shared" si="64"/>
        <v>3463.7787327419655</v>
      </c>
      <c r="O764">
        <f t="shared" si="61"/>
        <v>240</v>
      </c>
      <c r="P764" s="6">
        <f t="shared" si="62"/>
        <v>7.0216500877706256E-2</v>
      </c>
      <c r="Q764" s="6">
        <f t="shared" si="63"/>
        <v>1.3393426782318765E-2</v>
      </c>
    </row>
    <row r="765" spans="1:17" x14ac:dyDescent="0.25">
      <c r="A765" s="3">
        <v>764</v>
      </c>
      <c r="B765" s="3" t="s">
        <v>47</v>
      </c>
      <c r="C765" s="3" t="s">
        <v>48</v>
      </c>
      <c r="D765" s="3" t="s">
        <v>102</v>
      </c>
      <c r="E765" s="3">
        <v>8</v>
      </c>
      <c r="F765" s="3">
        <v>2024</v>
      </c>
      <c r="G765" s="9" t="s">
        <v>97</v>
      </c>
      <c r="H765" s="3">
        <v>3134</v>
      </c>
      <c r="I765" s="3">
        <v>3157</v>
      </c>
      <c r="J765" s="3">
        <v>-23</v>
      </c>
      <c r="K765" s="3">
        <v>0.7</v>
      </c>
      <c r="L765" s="3" t="s">
        <v>78</v>
      </c>
      <c r="M765">
        <f t="shared" si="65"/>
        <v>3548</v>
      </c>
      <c r="N765">
        <f t="shared" si="64"/>
        <v>3450.0451129193752</v>
      </c>
      <c r="O765">
        <f t="shared" si="61"/>
        <v>23</v>
      </c>
      <c r="P765" s="6">
        <f t="shared" si="62"/>
        <v>7.3388640714741544E-3</v>
      </c>
      <c r="Q765" s="6">
        <f t="shared" si="63"/>
        <v>0.10084400539865196</v>
      </c>
    </row>
    <row r="766" spans="1:17" x14ac:dyDescent="0.25">
      <c r="A766" s="2">
        <v>765</v>
      </c>
      <c r="B766" s="2" t="s">
        <v>47</v>
      </c>
      <c r="C766" s="2" t="s">
        <v>48</v>
      </c>
      <c r="D766" s="2" t="s">
        <v>102</v>
      </c>
      <c r="E766" s="2">
        <v>9</v>
      </c>
      <c r="F766" s="2">
        <v>2024</v>
      </c>
      <c r="G766" s="8" t="s">
        <v>98</v>
      </c>
      <c r="H766" s="2">
        <v>3500</v>
      </c>
      <c r="I766" s="2">
        <v>3360</v>
      </c>
      <c r="J766" s="2">
        <v>140</v>
      </c>
      <c r="K766" s="2">
        <v>4</v>
      </c>
      <c r="L766" s="2" t="s">
        <v>83</v>
      </c>
      <c r="M766">
        <f t="shared" si="65"/>
        <v>3334.3333333333335</v>
      </c>
      <c r="N766">
        <f t="shared" si="64"/>
        <v>3355.2315790435623</v>
      </c>
      <c r="O766">
        <f t="shared" si="61"/>
        <v>140</v>
      </c>
      <c r="P766" s="6">
        <f t="shared" si="62"/>
        <v>0.04</v>
      </c>
      <c r="Q766" s="6">
        <f t="shared" si="63"/>
        <v>4.1362405987553627E-2</v>
      </c>
    </row>
    <row r="767" spans="1:17" x14ac:dyDescent="0.25">
      <c r="A767" s="3">
        <v>766</v>
      </c>
      <c r="B767" s="3" t="s">
        <v>47</v>
      </c>
      <c r="C767" s="3" t="s">
        <v>48</v>
      </c>
      <c r="D767" s="3" t="s">
        <v>102</v>
      </c>
      <c r="E767" s="3">
        <v>10</v>
      </c>
      <c r="F767" s="3">
        <v>2024</v>
      </c>
      <c r="G767" s="9" t="s">
        <v>99</v>
      </c>
      <c r="H767" s="3">
        <v>3249</v>
      </c>
      <c r="I767" s="3">
        <v>3224</v>
      </c>
      <c r="J767" s="3">
        <v>25</v>
      </c>
      <c r="K767" s="3">
        <v>0.8</v>
      </c>
      <c r="L767" s="3" t="s">
        <v>78</v>
      </c>
      <c r="M767">
        <f t="shared" si="65"/>
        <v>3350.6666666666665</v>
      </c>
      <c r="N767">
        <f t="shared" si="64"/>
        <v>3398.6621053304934</v>
      </c>
      <c r="O767">
        <f t="shared" si="61"/>
        <v>25</v>
      </c>
      <c r="P767" s="6">
        <f t="shared" si="62"/>
        <v>7.6946752847029858E-3</v>
      </c>
      <c r="Q767" s="6">
        <f t="shared" si="63"/>
        <v>4.606405211772651E-2</v>
      </c>
    </row>
    <row r="768" spans="1:17" x14ac:dyDescent="0.25">
      <c r="A768" s="2">
        <v>767</v>
      </c>
      <c r="B768" s="2" t="s">
        <v>47</v>
      </c>
      <c r="C768" s="2" t="s">
        <v>48</v>
      </c>
      <c r="D768" s="2" t="s">
        <v>102</v>
      </c>
      <c r="E768" s="2">
        <v>11</v>
      </c>
      <c r="F768" s="2">
        <v>2024</v>
      </c>
      <c r="G768" s="8" t="s">
        <v>100</v>
      </c>
      <c r="H768" s="2">
        <v>4097</v>
      </c>
      <c r="I768" s="2">
        <v>4480</v>
      </c>
      <c r="J768" s="2">
        <v>-383</v>
      </c>
      <c r="K768" s="2">
        <v>9.3000000000000007</v>
      </c>
      <c r="L768" s="2" t="s">
        <v>83</v>
      </c>
      <c r="M768">
        <f t="shared" si="65"/>
        <v>3294.3333333333335</v>
      </c>
      <c r="N768">
        <f t="shared" si="64"/>
        <v>3353.7634737313451</v>
      </c>
      <c r="O768">
        <f t="shared" si="61"/>
        <v>383</v>
      </c>
      <c r="P768" s="6">
        <f t="shared" si="62"/>
        <v>9.3483036368074202E-2</v>
      </c>
      <c r="Q768" s="6">
        <f t="shared" si="63"/>
        <v>0.18140994050980105</v>
      </c>
    </row>
    <row r="769" spans="1:17" x14ac:dyDescent="0.25">
      <c r="A769" s="3">
        <v>768</v>
      </c>
      <c r="B769" s="3" t="s">
        <v>47</v>
      </c>
      <c r="C769" s="3" t="s">
        <v>48</v>
      </c>
      <c r="D769" s="3" t="s">
        <v>102</v>
      </c>
      <c r="E769" s="3">
        <v>12</v>
      </c>
      <c r="F769" s="3">
        <v>2024</v>
      </c>
      <c r="G769" s="9" t="s">
        <v>101</v>
      </c>
      <c r="H769" s="3">
        <v>4229</v>
      </c>
      <c r="I769" s="3">
        <v>4134</v>
      </c>
      <c r="J769" s="3">
        <v>95</v>
      </c>
      <c r="K769" s="3">
        <v>2.2000000000000002</v>
      </c>
      <c r="L769" s="3" t="s">
        <v>76</v>
      </c>
      <c r="M769">
        <f t="shared" si="65"/>
        <v>3615.3333333333335</v>
      </c>
      <c r="N769">
        <f t="shared" si="64"/>
        <v>3576.7344316119415</v>
      </c>
      <c r="O769">
        <f t="shared" si="61"/>
        <v>95</v>
      </c>
      <c r="P769" s="6">
        <f t="shared" si="62"/>
        <v>2.2463939465594704E-2</v>
      </c>
      <c r="Q769" s="6">
        <f t="shared" si="63"/>
        <v>0.15423636046064282</v>
      </c>
    </row>
    <row r="770" spans="1:17" x14ac:dyDescent="0.25">
      <c r="A770" s="2">
        <v>769</v>
      </c>
      <c r="B770" s="2" t="s">
        <v>47</v>
      </c>
      <c r="C770" s="2" t="s">
        <v>48</v>
      </c>
      <c r="D770" s="2" t="s">
        <v>103</v>
      </c>
      <c r="E770" s="2">
        <v>1</v>
      </c>
      <c r="F770" s="2">
        <v>2023</v>
      </c>
      <c r="G770" s="8" t="s">
        <v>75</v>
      </c>
      <c r="H770" s="2">
        <v>2850</v>
      </c>
      <c r="I770" s="2">
        <v>2933</v>
      </c>
      <c r="J770" s="2">
        <v>-83</v>
      </c>
      <c r="K770" s="2">
        <v>2.9</v>
      </c>
      <c r="L770" s="2" t="s">
        <v>76</v>
      </c>
      <c r="M770">
        <f t="shared" si="65"/>
        <v>3858.3333333333335</v>
      </c>
      <c r="N770">
        <f t="shared" si="64"/>
        <v>3772.4141021283585</v>
      </c>
      <c r="O770">
        <f t="shared" si="61"/>
        <v>83</v>
      </c>
      <c r="P770" s="6">
        <f t="shared" si="62"/>
        <v>2.9122807017543859E-2</v>
      </c>
      <c r="Q770" s="6">
        <f t="shared" si="63"/>
        <v>0.32365407092223109</v>
      </c>
    </row>
    <row r="771" spans="1:17" x14ac:dyDescent="0.25">
      <c r="A771" s="3">
        <v>770</v>
      </c>
      <c r="B771" s="3" t="s">
        <v>47</v>
      </c>
      <c r="C771" s="3" t="s">
        <v>48</v>
      </c>
      <c r="D771" s="3" t="s">
        <v>103</v>
      </c>
      <c r="E771" s="3">
        <v>2</v>
      </c>
      <c r="F771" s="3">
        <v>2023</v>
      </c>
      <c r="G771" s="9" t="s">
        <v>77</v>
      </c>
      <c r="H771" s="3">
        <v>3206</v>
      </c>
      <c r="I771" s="3">
        <v>2944</v>
      </c>
      <c r="J771" s="3">
        <v>262</v>
      </c>
      <c r="K771" s="3">
        <v>8.1999999999999993</v>
      </c>
      <c r="L771" s="3" t="s">
        <v>83</v>
      </c>
      <c r="M771">
        <f t="shared" si="65"/>
        <v>3725.3333333333335</v>
      </c>
      <c r="N771">
        <f t="shared" si="64"/>
        <v>3495.6898714898507</v>
      </c>
      <c r="O771">
        <f t="shared" ref="O771:O834" si="66">ABS(H771-I771)</f>
        <v>262</v>
      </c>
      <c r="P771" s="6">
        <f t="shared" ref="P771:P834" si="67">ABS(O771)/H771</f>
        <v>8.1721771678103558E-2</v>
      </c>
      <c r="Q771" s="6">
        <f t="shared" ref="Q771:Q834" si="68">ABS((H771-N771))/H771</f>
        <v>9.0358662348674582E-2</v>
      </c>
    </row>
    <row r="772" spans="1:17" x14ac:dyDescent="0.25">
      <c r="A772" s="2">
        <v>771</v>
      </c>
      <c r="B772" s="2" t="s">
        <v>47</v>
      </c>
      <c r="C772" s="2" t="s">
        <v>48</v>
      </c>
      <c r="D772" s="2" t="s">
        <v>103</v>
      </c>
      <c r="E772" s="2">
        <v>3</v>
      </c>
      <c r="F772" s="2">
        <v>2023</v>
      </c>
      <c r="G772" s="8" t="s">
        <v>79</v>
      </c>
      <c r="H772" s="2">
        <v>3700</v>
      </c>
      <c r="I772" s="2">
        <v>3368</v>
      </c>
      <c r="J772" s="2">
        <v>332</v>
      </c>
      <c r="K772" s="2">
        <v>9</v>
      </c>
      <c r="L772" s="2" t="s">
        <v>76</v>
      </c>
      <c r="M772">
        <f t="shared" si="65"/>
        <v>3428.3333333333335</v>
      </c>
      <c r="N772">
        <f t="shared" ref="N772:N835" si="69">0.3*H771+(0.7*N771)</f>
        <v>3408.7829100428953</v>
      </c>
      <c r="O772">
        <f t="shared" si="66"/>
        <v>332</v>
      </c>
      <c r="P772" s="6">
        <f t="shared" si="67"/>
        <v>8.9729729729729729E-2</v>
      </c>
      <c r="Q772" s="6">
        <f t="shared" si="68"/>
        <v>7.8707321610028289E-2</v>
      </c>
    </row>
    <row r="773" spans="1:17" x14ac:dyDescent="0.25">
      <c r="A773" s="3">
        <v>772</v>
      </c>
      <c r="B773" s="3" t="s">
        <v>47</v>
      </c>
      <c r="C773" s="3" t="s">
        <v>48</v>
      </c>
      <c r="D773" s="3" t="s">
        <v>103</v>
      </c>
      <c r="E773" s="3">
        <v>4</v>
      </c>
      <c r="F773" s="3">
        <v>2023</v>
      </c>
      <c r="G773" s="9" t="s">
        <v>80</v>
      </c>
      <c r="H773" s="3">
        <v>3760</v>
      </c>
      <c r="I773" s="3">
        <v>3837</v>
      </c>
      <c r="J773" s="3">
        <v>-77</v>
      </c>
      <c r="K773" s="3">
        <v>2</v>
      </c>
      <c r="L773" s="3" t="s">
        <v>78</v>
      </c>
      <c r="M773">
        <f t="shared" si="65"/>
        <v>3252</v>
      </c>
      <c r="N773">
        <f t="shared" si="69"/>
        <v>3496.1480370300264</v>
      </c>
      <c r="O773">
        <f t="shared" si="66"/>
        <v>77</v>
      </c>
      <c r="P773" s="6">
        <f t="shared" si="67"/>
        <v>2.0478723404255317E-2</v>
      </c>
      <c r="Q773" s="6">
        <f t="shared" si="68"/>
        <v>7.0173394406907855E-2</v>
      </c>
    </row>
    <row r="774" spans="1:17" x14ac:dyDescent="0.25">
      <c r="A774" s="2">
        <v>773</v>
      </c>
      <c r="B774" s="2" t="s">
        <v>47</v>
      </c>
      <c r="C774" s="2" t="s">
        <v>48</v>
      </c>
      <c r="D774" s="2" t="s">
        <v>103</v>
      </c>
      <c r="E774" s="2">
        <v>5</v>
      </c>
      <c r="F774" s="2">
        <v>2023</v>
      </c>
      <c r="G774" s="8" t="s">
        <v>81</v>
      </c>
      <c r="H774" s="2">
        <v>3506</v>
      </c>
      <c r="I774" s="2">
        <v>3689</v>
      </c>
      <c r="J774" s="2">
        <v>-183</v>
      </c>
      <c r="K774" s="2">
        <v>5.2</v>
      </c>
      <c r="L774" s="2" t="s">
        <v>83</v>
      </c>
      <c r="M774">
        <f t="shared" ref="M774:M837" si="70">AVERAGE(H771:H773)</f>
        <v>3555.3333333333335</v>
      </c>
      <c r="N774">
        <f t="shared" si="69"/>
        <v>3575.3036259210185</v>
      </c>
      <c r="O774">
        <f t="shared" si="66"/>
        <v>183</v>
      </c>
      <c r="P774" s="6">
        <f t="shared" si="67"/>
        <v>5.2196235025670279E-2</v>
      </c>
      <c r="Q774" s="6">
        <f t="shared" si="68"/>
        <v>1.9767149435544341E-2</v>
      </c>
    </row>
    <row r="775" spans="1:17" x14ac:dyDescent="0.25">
      <c r="A775" s="3">
        <v>774</v>
      </c>
      <c r="B775" s="3" t="s">
        <v>47</v>
      </c>
      <c r="C775" s="3" t="s">
        <v>48</v>
      </c>
      <c r="D775" s="3" t="s">
        <v>103</v>
      </c>
      <c r="E775" s="3">
        <v>6</v>
      </c>
      <c r="F775" s="3">
        <v>2023</v>
      </c>
      <c r="G775" s="9" t="s">
        <v>82</v>
      </c>
      <c r="H775" s="3">
        <v>4134</v>
      </c>
      <c r="I775" s="3">
        <v>3900</v>
      </c>
      <c r="J775" s="3">
        <v>234</v>
      </c>
      <c r="K775" s="3">
        <v>5.7</v>
      </c>
      <c r="L775" s="3" t="s">
        <v>78</v>
      </c>
      <c r="M775">
        <f t="shared" si="70"/>
        <v>3655.3333333333335</v>
      </c>
      <c r="N775">
        <f t="shared" si="69"/>
        <v>3554.5125381447124</v>
      </c>
      <c r="O775">
        <f t="shared" si="66"/>
        <v>234</v>
      </c>
      <c r="P775" s="6">
        <f t="shared" si="67"/>
        <v>5.6603773584905662E-2</v>
      </c>
      <c r="Q775" s="6">
        <f t="shared" si="68"/>
        <v>0.14017597045362545</v>
      </c>
    </row>
    <row r="776" spans="1:17" x14ac:dyDescent="0.25">
      <c r="A776" s="2">
        <v>775</v>
      </c>
      <c r="B776" s="2" t="s">
        <v>47</v>
      </c>
      <c r="C776" s="2" t="s">
        <v>48</v>
      </c>
      <c r="D776" s="2" t="s">
        <v>103</v>
      </c>
      <c r="E776" s="2">
        <v>7</v>
      </c>
      <c r="F776" s="2">
        <v>2023</v>
      </c>
      <c r="G776" s="8" t="s">
        <v>84</v>
      </c>
      <c r="H776" s="2">
        <v>4244</v>
      </c>
      <c r="I776" s="2">
        <v>4102</v>
      </c>
      <c r="J776" s="2">
        <v>142</v>
      </c>
      <c r="K776" s="2">
        <v>3.3</v>
      </c>
      <c r="L776" s="2" t="s">
        <v>78</v>
      </c>
      <c r="M776">
        <f t="shared" si="70"/>
        <v>3800</v>
      </c>
      <c r="N776">
        <f t="shared" si="69"/>
        <v>3728.3587767012987</v>
      </c>
      <c r="O776">
        <f t="shared" si="66"/>
        <v>142</v>
      </c>
      <c r="P776" s="6">
        <f t="shared" si="67"/>
        <v>3.3459000942507068E-2</v>
      </c>
      <c r="Q776" s="6">
        <f t="shared" si="68"/>
        <v>0.12149887448131511</v>
      </c>
    </row>
    <row r="777" spans="1:17" x14ac:dyDescent="0.25">
      <c r="A777" s="3">
        <v>776</v>
      </c>
      <c r="B777" s="3" t="s">
        <v>47</v>
      </c>
      <c r="C777" s="3" t="s">
        <v>48</v>
      </c>
      <c r="D777" s="3" t="s">
        <v>103</v>
      </c>
      <c r="E777" s="3">
        <v>8</v>
      </c>
      <c r="F777" s="3">
        <v>2023</v>
      </c>
      <c r="G777" s="9" t="s">
        <v>85</v>
      </c>
      <c r="H777" s="3">
        <v>3528</v>
      </c>
      <c r="I777" s="3">
        <v>3309</v>
      </c>
      <c r="J777" s="3">
        <v>219</v>
      </c>
      <c r="K777" s="3">
        <v>6.2</v>
      </c>
      <c r="L777" s="3" t="s">
        <v>83</v>
      </c>
      <c r="M777">
        <f t="shared" si="70"/>
        <v>3961.3333333333335</v>
      </c>
      <c r="N777">
        <f t="shared" si="69"/>
        <v>3883.0511436909092</v>
      </c>
      <c r="O777">
        <f t="shared" si="66"/>
        <v>219</v>
      </c>
      <c r="P777" s="6">
        <f t="shared" si="67"/>
        <v>6.2074829931972789E-2</v>
      </c>
      <c r="Q777" s="6">
        <f t="shared" si="68"/>
        <v>0.10063807927746858</v>
      </c>
    </row>
    <row r="778" spans="1:17" x14ac:dyDescent="0.25">
      <c r="A778" s="2">
        <v>777</v>
      </c>
      <c r="B778" s="2" t="s">
        <v>47</v>
      </c>
      <c r="C778" s="2" t="s">
        <v>48</v>
      </c>
      <c r="D778" s="2" t="s">
        <v>103</v>
      </c>
      <c r="E778" s="2">
        <v>9</v>
      </c>
      <c r="F778" s="2">
        <v>2023</v>
      </c>
      <c r="G778" s="8" t="s">
        <v>86</v>
      </c>
      <c r="H778" s="2">
        <v>3278</v>
      </c>
      <c r="I778" s="2">
        <v>3605</v>
      </c>
      <c r="J778" s="2">
        <v>-327</v>
      </c>
      <c r="K778" s="2">
        <v>10</v>
      </c>
      <c r="L778" s="2" t="s">
        <v>76</v>
      </c>
      <c r="M778">
        <f t="shared" si="70"/>
        <v>3968.6666666666665</v>
      </c>
      <c r="N778">
        <f t="shared" si="69"/>
        <v>3776.535800583636</v>
      </c>
      <c r="O778">
        <f t="shared" si="66"/>
        <v>327</v>
      </c>
      <c r="P778" s="6">
        <f t="shared" si="67"/>
        <v>9.9755948749237336E-2</v>
      </c>
      <c r="Q778" s="6">
        <f t="shared" si="68"/>
        <v>0.15208535710300061</v>
      </c>
    </row>
    <row r="779" spans="1:17" x14ac:dyDescent="0.25">
      <c r="A779" s="3">
        <v>778</v>
      </c>
      <c r="B779" s="3" t="s">
        <v>47</v>
      </c>
      <c r="C779" s="3" t="s">
        <v>48</v>
      </c>
      <c r="D779" s="3" t="s">
        <v>103</v>
      </c>
      <c r="E779" s="3">
        <v>10</v>
      </c>
      <c r="F779" s="3">
        <v>2023</v>
      </c>
      <c r="G779" s="9" t="s">
        <v>87</v>
      </c>
      <c r="H779" s="3">
        <v>4365</v>
      </c>
      <c r="I779" s="3">
        <v>4535</v>
      </c>
      <c r="J779" s="3">
        <v>-170</v>
      </c>
      <c r="K779" s="3">
        <v>3.9</v>
      </c>
      <c r="L779" s="3" t="s">
        <v>83</v>
      </c>
      <c r="M779">
        <f t="shared" si="70"/>
        <v>3683.3333333333335</v>
      </c>
      <c r="N779">
        <f t="shared" si="69"/>
        <v>3626.9750604085452</v>
      </c>
      <c r="O779">
        <f t="shared" si="66"/>
        <v>170</v>
      </c>
      <c r="P779" s="6">
        <f t="shared" si="67"/>
        <v>3.8946162657502864E-2</v>
      </c>
      <c r="Q779" s="6">
        <f t="shared" si="68"/>
        <v>0.16907787848601483</v>
      </c>
    </row>
    <row r="780" spans="1:17" x14ac:dyDescent="0.25">
      <c r="A780" s="2">
        <v>779</v>
      </c>
      <c r="B780" s="2" t="s">
        <v>47</v>
      </c>
      <c r="C780" s="2" t="s">
        <v>48</v>
      </c>
      <c r="D780" s="2" t="s">
        <v>103</v>
      </c>
      <c r="E780" s="2">
        <v>11</v>
      </c>
      <c r="F780" s="2">
        <v>2023</v>
      </c>
      <c r="G780" s="8" t="s">
        <v>88</v>
      </c>
      <c r="H780" s="2">
        <v>4192</v>
      </c>
      <c r="I780" s="2">
        <v>4540</v>
      </c>
      <c r="J780" s="2">
        <v>-348</v>
      </c>
      <c r="K780" s="2">
        <v>8.3000000000000007</v>
      </c>
      <c r="L780" s="2" t="s">
        <v>83</v>
      </c>
      <c r="M780">
        <f t="shared" si="70"/>
        <v>3723.6666666666665</v>
      </c>
      <c r="N780">
        <f t="shared" si="69"/>
        <v>3848.3825422859813</v>
      </c>
      <c r="O780">
        <f t="shared" si="66"/>
        <v>348</v>
      </c>
      <c r="P780" s="6">
        <f t="shared" si="67"/>
        <v>8.3015267175572519E-2</v>
      </c>
      <c r="Q780" s="6">
        <f t="shared" si="68"/>
        <v>8.1969813385977738E-2</v>
      </c>
    </row>
    <row r="781" spans="1:17" x14ac:dyDescent="0.25">
      <c r="A781" s="3">
        <v>780</v>
      </c>
      <c r="B781" s="3" t="s">
        <v>47</v>
      </c>
      <c r="C781" s="3" t="s">
        <v>48</v>
      </c>
      <c r="D781" s="3" t="s">
        <v>103</v>
      </c>
      <c r="E781" s="3">
        <v>12</v>
      </c>
      <c r="F781" s="3">
        <v>2023</v>
      </c>
      <c r="G781" s="9" t="s">
        <v>89</v>
      </c>
      <c r="H781" s="3">
        <v>4492</v>
      </c>
      <c r="I781" s="3">
        <v>4297</v>
      </c>
      <c r="J781" s="3">
        <v>195</v>
      </c>
      <c r="K781" s="3">
        <v>4.3</v>
      </c>
      <c r="L781" s="3" t="s">
        <v>76</v>
      </c>
      <c r="M781">
        <f t="shared" si="70"/>
        <v>3945</v>
      </c>
      <c r="N781">
        <f t="shared" si="69"/>
        <v>3951.4677796001865</v>
      </c>
      <c r="O781">
        <f t="shared" si="66"/>
        <v>195</v>
      </c>
      <c r="P781" s="6">
        <f t="shared" si="67"/>
        <v>4.3410507569011575E-2</v>
      </c>
      <c r="Q781" s="6">
        <f t="shared" si="68"/>
        <v>0.12033219510236275</v>
      </c>
    </row>
    <row r="782" spans="1:17" x14ac:dyDescent="0.25">
      <c r="A782" s="2">
        <v>781</v>
      </c>
      <c r="B782" s="2" t="s">
        <v>47</v>
      </c>
      <c r="C782" s="2" t="s">
        <v>48</v>
      </c>
      <c r="D782" s="2" t="s">
        <v>103</v>
      </c>
      <c r="E782" s="2">
        <v>1</v>
      </c>
      <c r="F782" s="2">
        <v>2024</v>
      </c>
      <c r="G782" s="8" t="s">
        <v>90</v>
      </c>
      <c r="H782" s="2">
        <v>3093</v>
      </c>
      <c r="I782" s="2">
        <v>3005</v>
      </c>
      <c r="J782" s="2">
        <v>88</v>
      </c>
      <c r="K782" s="2">
        <v>2.8</v>
      </c>
      <c r="L782" s="2" t="s">
        <v>76</v>
      </c>
      <c r="M782">
        <f t="shared" si="70"/>
        <v>4349.666666666667</v>
      </c>
      <c r="N782">
        <f t="shared" si="69"/>
        <v>4113.6274457201307</v>
      </c>
      <c r="O782">
        <f t="shared" si="66"/>
        <v>88</v>
      </c>
      <c r="P782" s="6">
        <f t="shared" si="67"/>
        <v>2.8451341739411575E-2</v>
      </c>
      <c r="Q782" s="6">
        <f t="shared" si="68"/>
        <v>0.32997977553188834</v>
      </c>
    </row>
    <row r="783" spans="1:17" x14ac:dyDescent="0.25">
      <c r="A783" s="3">
        <v>782</v>
      </c>
      <c r="B783" s="3" t="s">
        <v>47</v>
      </c>
      <c r="C783" s="3" t="s">
        <v>48</v>
      </c>
      <c r="D783" s="3" t="s">
        <v>103</v>
      </c>
      <c r="E783" s="3">
        <v>2</v>
      </c>
      <c r="F783" s="3">
        <v>2024</v>
      </c>
      <c r="G783" s="9" t="s">
        <v>91</v>
      </c>
      <c r="H783" s="3">
        <v>2860</v>
      </c>
      <c r="I783" s="3">
        <v>3078</v>
      </c>
      <c r="J783" s="3">
        <v>-218</v>
      </c>
      <c r="K783" s="3">
        <v>7.6</v>
      </c>
      <c r="L783" s="3" t="s">
        <v>76</v>
      </c>
      <c r="M783">
        <f t="shared" si="70"/>
        <v>3925.6666666666665</v>
      </c>
      <c r="N783">
        <f t="shared" si="69"/>
        <v>3807.4392120040916</v>
      </c>
      <c r="O783">
        <f t="shared" si="66"/>
        <v>218</v>
      </c>
      <c r="P783" s="6">
        <f t="shared" si="67"/>
        <v>7.6223776223776227E-2</v>
      </c>
      <c r="Q783" s="6">
        <f t="shared" si="68"/>
        <v>0.3312724517496824</v>
      </c>
    </row>
    <row r="784" spans="1:17" x14ac:dyDescent="0.25">
      <c r="A784" s="2">
        <v>783</v>
      </c>
      <c r="B784" s="2" t="s">
        <v>47</v>
      </c>
      <c r="C784" s="2" t="s">
        <v>48</v>
      </c>
      <c r="D784" s="2" t="s">
        <v>103</v>
      </c>
      <c r="E784" s="2">
        <v>3</v>
      </c>
      <c r="F784" s="2">
        <v>2024</v>
      </c>
      <c r="G784" s="8" t="s">
        <v>92</v>
      </c>
      <c r="H784" s="2">
        <v>3099</v>
      </c>
      <c r="I784" s="2">
        <v>3397</v>
      </c>
      <c r="J784" s="2">
        <v>-298</v>
      </c>
      <c r="K784" s="2">
        <v>9.6</v>
      </c>
      <c r="L784" s="2" t="s">
        <v>76</v>
      </c>
      <c r="M784">
        <f t="shared" si="70"/>
        <v>3481.6666666666665</v>
      </c>
      <c r="N784">
        <f t="shared" si="69"/>
        <v>3523.207448402864</v>
      </c>
      <c r="O784">
        <f t="shared" si="66"/>
        <v>298</v>
      </c>
      <c r="P784" s="6">
        <f t="shared" si="67"/>
        <v>9.6160051629557916E-2</v>
      </c>
      <c r="Q784" s="6">
        <f t="shared" si="68"/>
        <v>0.13688526892638397</v>
      </c>
    </row>
    <row r="785" spans="1:17" x14ac:dyDescent="0.25">
      <c r="A785" s="3">
        <v>784</v>
      </c>
      <c r="B785" s="3" t="s">
        <v>47</v>
      </c>
      <c r="C785" s="3" t="s">
        <v>48</v>
      </c>
      <c r="D785" s="3" t="s">
        <v>103</v>
      </c>
      <c r="E785" s="3">
        <v>4</v>
      </c>
      <c r="F785" s="3">
        <v>2024</v>
      </c>
      <c r="G785" s="9" t="s">
        <v>93</v>
      </c>
      <c r="H785" s="3">
        <v>3836</v>
      </c>
      <c r="I785" s="3">
        <v>3698</v>
      </c>
      <c r="J785" s="3">
        <v>138</v>
      </c>
      <c r="K785" s="3">
        <v>3.6</v>
      </c>
      <c r="L785" s="3" t="s">
        <v>78</v>
      </c>
      <c r="M785">
        <f t="shared" si="70"/>
        <v>3017.3333333333335</v>
      </c>
      <c r="N785">
        <f t="shared" si="69"/>
        <v>3395.9452138820043</v>
      </c>
      <c r="O785">
        <f t="shared" si="66"/>
        <v>138</v>
      </c>
      <c r="P785" s="6">
        <f t="shared" si="67"/>
        <v>3.5974973931178308E-2</v>
      </c>
      <c r="Q785" s="6">
        <f t="shared" si="68"/>
        <v>0.11471709752815321</v>
      </c>
    </row>
    <row r="786" spans="1:17" x14ac:dyDescent="0.25">
      <c r="A786" s="2">
        <v>785</v>
      </c>
      <c r="B786" s="2" t="s">
        <v>47</v>
      </c>
      <c r="C786" s="2" t="s">
        <v>48</v>
      </c>
      <c r="D786" s="2" t="s">
        <v>103</v>
      </c>
      <c r="E786" s="2">
        <v>5</v>
      </c>
      <c r="F786" s="2">
        <v>2024</v>
      </c>
      <c r="G786" s="8" t="s">
        <v>94</v>
      </c>
      <c r="H786" s="2">
        <v>3672</v>
      </c>
      <c r="I786" s="2">
        <v>3608</v>
      </c>
      <c r="J786" s="2">
        <v>64</v>
      </c>
      <c r="K786" s="2">
        <v>1.7</v>
      </c>
      <c r="L786" s="2" t="s">
        <v>83</v>
      </c>
      <c r="M786">
        <f t="shared" si="70"/>
        <v>3265</v>
      </c>
      <c r="N786">
        <f t="shared" si="69"/>
        <v>3527.9616497174029</v>
      </c>
      <c r="O786">
        <f t="shared" si="66"/>
        <v>64</v>
      </c>
      <c r="P786" s="6">
        <f t="shared" si="67"/>
        <v>1.7429193899782137E-2</v>
      </c>
      <c r="Q786" s="6">
        <f t="shared" si="68"/>
        <v>3.9226130251251934E-2</v>
      </c>
    </row>
    <row r="787" spans="1:17" x14ac:dyDescent="0.25">
      <c r="A787" s="3">
        <v>786</v>
      </c>
      <c r="B787" s="3" t="s">
        <v>47</v>
      </c>
      <c r="C787" s="3" t="s">
        <v>48</v>
      </c>
      <c r="D787" s="3" t="s">
        <v>103</v>
      </c>
      <c r="E787" s="3">
        <v>6</v>
      </c>
      <c r="F787" s="3">
        <v>2024</v>
      </c>
      <c r="G787" s="9" t="s">
        <v>95</v>
      </c>
      <c r="H787" s="3">
        <v>4317</v>
      </c>
      <c r="I787" s="3">
        <v>4525</v>
      </c>
      <c r="J787" s="3">
        <v>-208</v>
      </c>
      <c r="K787" s="3">
        <v>4.8</v>
      </c>
      <c r="L787" s="3" t="s">
        <v>78</v>
      </c>
      <c r="M787">
        <f t="shared" si="70"/>
        <v>3535.6666666666665</v>
      </c>
      <c r="N787">
        <f t="shared" si="69"/>
        <v>3571.1731548021817</v>
      </c>
      <c r="O787">
        <f t="shared" si="66"/>
        <v>208</v>
      </c>
      <c r="P787" s="6">
        <f t="shared" si="67"/>
        <v>4.8181607597868888E-2</v>
      </c>
      <c r="Q787" s="6">
        <f t="shared" si="68"/>
        <v>0.17276507880422012</v>
      </c>
    </row>
    <row r="788" spans="1:17" x14ac:dyDescent="0.25">
      <c r="A788" s="2">
        <v>787</v>
      </c>
      <c r="B788" s="2" t="s">
        <v>47</v>
      </c>
      <c r="C788" s="2" t="s">
        <v>48</v>
      </c>
      <c r="D788" s="2" t="s">
        <v>103</v>
      </c>
      <c r="E788" s="2">
        <v>7</v>
      </c>
      <c r="F788" s="2">
        <v>2024</v>
      </c>
      <c r="G788" s="8" t="s">
        <v>96</v>
      </c>
      <c r="H788" s="2">
        <v>3674</v>
      </c>
      <c r="I788" s="2">
        <v>3993</v>
      </c>
      <c r="J788" s="2">
        <v>-319</v>
      </c>
      <c r="K788" s="2">
        <v>8.6999999999999993</v>
      </c>
      <c r="L788" s="2" t="s">
        <v>83</v>
      </c>
      <c r="M788">
        <f t="shared" si="70"/>
        <v>3941.6666666666665</v>
      </c>
      <c r="N788">
        <f t="shared" si="69"/>
        <v>3794.9212083615271</v>
      </c>
      <c r="O788">
        <f t="shared" si="66"/>
        <v>319</v>
      </c>
      <c r="P788" s="6">
        <f t="shared" si="67"/>
        <v>8.6826347305389226E-2</v>
      </c>
      <c r="Q788" s="6">
        <f t="shared" si="68"/>
        <v>3.291268599932691E-2</v>
      </c>
    </row>
    <row r="789" spans="1:17" x14ac:dyDescent="0.25">
      <c r="A789" s="3">
        <v>788</v>
      </c>
      <c r="B789" s="3" t="s">
        <v>47</v>
      </c>
      <c r="C789" s="3" t="s">
        <v>48</v>
      </c>
      <c r="D789" s="3" t="s">
        <v>103</v>
      </c>
      <c r="E789" s="3">
        <v>8</v>
      </c>
      <c r="F789" s="3">
        <v>2024</v>
      </c>
      <c r="G789" s="9" t="s">
        <v>97</v>
      </c>
      <c r="H789" s="3">
        <v>3990</v>
      </c>
      <c r="I789" s="3">
        <v>3826</v>
      </c>
      <c r="J789" s="3">
        <v>164</v>
      </c>
      <c r="K789" s="3">
        <v>4.0999999999999996</v>
      </c>
      <c r="L789" s="3" t="s">
        <v>78</v>
      </c>
      <c r="M789">
        <f t="shared" si="70"/>
        <v>3887.6666666666665</v>
      </c>
      <c r="N789">
        <f t="shared" si="69"/>
        <v>3758.6448458530685</v>
      </c>
      <c r="O789">
        <f t="shared" si="66"/>
        <v>164</v>
      </c>
      <c r="P789" s="6">
        <f t="shared" si="67"/>
        <v>4.1102756892230578E-2</v>
      </c>
      <c r="Q789" s="6">
        <f t="shared" si="68"/>
        <v>5.7983747906499114E-2</v>
      </c>
    </row>
    <row r="790" spans="1:17" x14ac:dyDescent="0.25">
      <c r="A790" s="2">
        <v>789</v>
      </c>
      <c r="B790" s="2" t="s">
        <v>47</v>
      </c>
      <c r="C790" s="2" t="s">
        <v>48</v>
      </c>
      <c r="D790" s="2" t="s">
        <v>103</v>
      </c>
      <c r="E790" s="2">
        <v>9</v>
      </c>
      <c r="F790" s="2">
        <v>2024</v>
      </c>
      <c r="G790" s="8" t="s">
        <v>98</v>
      </c>
      <c r="H790" s="2">
        <v>3462</v>
      </c>
      <c r="I790" s="2">
        <v>3378</v>
      </c>
      <c r="J790" s="2">
        <v>84</v>
      </c>
      <c r="K790" s="2">
        <v>2.4</v>
      </c>
      <c r="L790" s="2" t="s">
        <v>78</v>
      </c>
      <c r="M790">
        <f t="shared" si="70"/>
        <v>3993.6666666666665</v>
      </c>
      <c r="N790">
        <f t="shared" si="69"/>
        <v>3828.051392097148</v>
      </c>
      <c r="O790">
        <f t="shared" si="66"/>
        <v>84</v>
      </c>
      <c r="P790" s="6">
        <f t="shared" si="67"/>
        <v>2.4263431542461005E-2</v>
      </c>
      <c r="Q790" s="6">
        <f t="shared" si="68"/>
        <v>0.10573408206156787</v>
      </c>
    </row>
    <row r="791" spans="1:17" x14ac:dyDescent="0.25">
      <c r="A791" s="3">
        <v>790</v>
      </c>
      <c r="B791" s="3" t="s">
        <v>47</v>
      </c>
      <c r="C791" s="3" t="s">
        <v>48</v>
      </c>
      <c r="D791" s="3" t="s">
        <v>103</v>
      </c>
      <c r="E791" s="3">
        <v>10</v>
      </c>
      <c r="F791" s="3">
        <v>2024</v>
      </c>
      <c r="G791" s="9" t="s">
        <v>99</v>
      </c>
      <c r="H791" s="3">
        <v>3970</v>
      </c>
      <c r="I791" s="3">
        <v>4092</v>
      </c>
      <c r="J791" s="3">
        <v>-122</v>
      </c>
      <c r="K791" s="3">
        <v>3.1</v>
      </c>
      <c r="L791" s="3" t="s">
        <v>83</v>
      </c>
      <c r="M791">
        <f t="shared" si="70"/>
        <v>3708.6666666666665</v>
      </c>
      <c r="N791">
        <f t="shared" si="69"/>
        <v>3718.2359744680034</v>
      </c>
      <c r="O791">
        <f t="shared" si="66"/>
        <v>122</v>
      </c>
      <c r="P791" s="6">
        <f t="shared" si="67"/>
        <v>3.0730478589420653E-2</v>
      </c>
      <c r="Q791" s="6">
        <f t="shared" si="68"/>
        <v>6.3416631116371941E-2</v>
      </c>
    </row>
    <row r="792" spans="1:17" x14ac:dyDescent="0.25">
      <c r="A792" s="2">
        <v>791</v>
      </c>
      <c r="B792" s="2" t="s">
        <v>47</v>
      </c>
      <c r="C792" s="2" t="s">
        <v>48</v>
      </c>
      <c r="D792" s="2" t="s">
        <v>103</v>
      </c>
      <c r="E792" s="2">
        <v>11</v>
      </c>
      <c r="F792" s="2">
        <v>2024</v>
      </c>
      <c r="G792" s="8" t="s">
        <v>100</v>
      </c>
      <c r="H792" s="2">
        <v>4336</v>
      </c>
      <c r="I792" s="2">
        <v>4564</v>
      </c>
      <c r="J792" s="2">
        <v>-228</v>
      </c>
      <c r="K792" s="2">
        <v>5.3</v>
      </c>
      <c r="L792" s="2" t="s">
        <v>76</v>
      </c>
      <c r="M792">
        <f t="shared" si="70"/>
        <v>3807.3333333333335</v>
      </c>
      <c r="N792">
        <f t="shared" si="69"/>
        <v>3793.7651821276022</v>
      </c>
      <c r="O792">
        <f t="shared" si="66"/>
        <v>228</v>
      </c>
      <c r="P792" s="6">
        <f t="shared" si="67"/>
        <v>5.2583025830258305E-2</v>
      </c>
      <c r="Q792" s="6">
        <f t="shared" si="68"/>
        <v>0.12505415541337589</v>
      </c>
    </row>
    <row r="793" spans="1:17" x14ac:dyDescent="0.25">
      <c r="A793" s="3">
        <v>792</v>
      </c>
      <c r="B793" s="3" t="s">
        <v>47</v>
      </c>
      <c r="C793" s="3" t="s">
        <v>48</v>
      </c>
      <c r="D793" s="3" t="s">
        <v>103</v>
      </c>
      <c r="E793" s="3">
        <v>12</v>
      </c>
      <c r="F793" s="3">
        <v>2024</v>
      </c>
      <c r="G793" s="9" t="s">
        <v>101</v>
      </c>
      <c r="H793" s="3">
        <v>5218</v>
      </c>
      <c r="I793" s="3">
        <v>5365</v>
      </c>
      <c r="J793" s="3">
        <v>-147</v>
      </c>
      <c r="K793" s="3">
        <v>2.8</v>
      </c>
      <c r="L793" s="3" t="s">
        <v>76</v>
      </c>
      <c r="M793">
        <f t="shared" si="70"/>
        <v>3922.6666666666665</v>
      </c>
      <c r="N793">
        <f t="shared" si="69"/>
        <v>3956.4356274893216</v>
      </c>
      <c r="O793">
        <f t="shared" si="66"/>
        <v>147</v>
      </c>
      <c r="P793" s="6">
        <f t="shared" si="67"/>
        <v>2.8171713300114986E-2</v>
      </c>
      <c r="Q793" s="6">
        <f t="shared" si="68"/>
        <v>0.2417716313742197</v>
      </c>
    </row>
    <row r="794" spans="1:17" x14ac:dyDescent="0.25">
      <c r="A794" s="2">
        <v>793</v>
      </c>
      <c r="B794" s="2" t="s">
        <v>49</v>
      </c>
      <c r="C794" s="2" t="s">
        <v>50</v>
      </c>
      <c r="D794" s="2" t="s">
        <v>74</v>
      </c>
      <c r="E794" s="2">
        <v>1</v>
      </c>
      <c r="F794" s="2">
        <v>2023</v>
      </c>
      <c r="G794" s="8" t="s">
        <v>75</v>
      </c>
      <c r="H794" s="2">
        <v>1263</v>
      </c>
      <c r="I794" s="2">
        <v>1321</v>
      </c>
      <c r="J794" s="2">
        <v>-58</v>
      </c>
      <c r="K794" s="2">
        <v>4.5999999999999996</v>
      </c>
      <c r="L794" s="2" t="s">
        <v>76</v>
      </c>
      <c r="M794">
        <f t="shared" si="70"/>
        <v>4508</v>
      </c>
      <c r="N794">
        <f t="shared" si="69"/>
        <v>4334.904939242525</v>
      </c>
      <c r="O794">
        <f t="shared" si="66"/>
        <v>58</v>
      </c>
      <c r="P794" s="6">
        <f t="shared" si="67"/>
        <v>4.5922406967537611E-2</v>
      </c>
      <c r="Q794" s="6">
        <f t="shared" si="68"/>
        <v>2.4322287721635192</v>
      </c>
    </row>
    <row r="795" spans="1:17" x14ac:dyDescent="0.25">
      <c r="A795" s="3">
        <v>794</v>
      </c>
      <c r="B795" s="3" t="s">
        <v>49</v>
      </c>
      <c r="C795" s="3" t="s">
        <v>50</v>
      </c>
      <c r="D795" s="3" t="s">
        <v>74</v>
      </c>
      <c r="E795" s="3">
        <v>2</v>
      </c>
      <c r="F795" s="3">
        <v>2023</v>
      </c>
      <c r="G795" s="9" t="s">
        <v>77</v>
      </c>
      <c r="H795" s="3">
        <v>1132</v>
      </c>
      <c r="I795" s="3">
        <v>1181</v>
      </c>
      <c r="J795" s="3">
        <v>-49</v>
      </c>
      <c r="K795" s="3">
        <v>4.3</v>
      </c>
      <c r="L795" s="3" t="s">
        <v>76</v>
      </c>
      <c r="M795">
        <f t="shared" si="70"/>
        <v>3605.6666666666665</v>
      </c>
      <c r="N795">
        <f t="shared" si="69"/>
        <v>3413.3334574697674</v>
      </c>
      <c r="O795">
        <f t="shared" si="66"/>
        <v>49</v>
      </c>
      <c r="P795" s="6">
        <f t="shared" si="67"/>
        <v>4.3286219081272087E-2</v>
      </c>
      <c r="Q795" s="6">
        <f t="shared" si="68"/>
        <v>2.0153122415810665</v>
      </c>
    </row>
    <row r="796" spans="1:17" x14ac:dyDescent="0.25">
      <c r="A796" s="2">
        <v>795</v>
      </c>
      <c r="B796" s="2" t="s">
        <v>49</v>
      </c>
      <c r="C796" s="2" t="s">
        <v>50</v>
      </c>
      <c r="D796" s="2" t="s">
        <v>74</v>
      </c>
      <c r="E796" s="2">
        <v>3</v>
      </c>
      <c r="F796" s="2">
        <v>2023</v>
      </c>
      <c r="G796" s="8" t="s">
        <v>79</v>
      </c>
      <c r="H796" s="2">
        <v>1316</v>
      </c>
      <c r="I796" s="2">
        <v>1418</v>
      </c>
      <c r="J796" s="2">
        <v>-102</v>
      </c>
      <c r="K796" s="2">
        <v>7.8</v>
      </c>
      <c r="L796" s="2" t="s">
        <v>83</v>
      </c>
      <c r="M796">
        <f t="shared" si="70"/>
        <v>2537.6666666666665</v>
      </c>
      <c r="N796">
        <f t="shared" si="69"/>
        <v>2728.9334202288369</v>
      </c>
      <c r="O796">
        <f t="shared" si="66"/>
        <v>102</v>
      </c>
      <c r="P796" s="6">
        <f t="shared" si="67"/>
        <v>7.7507598784194526E-2</v>
      </c>
      <c r="Q796" s="6">
        <f t="shared" si="68"/>
        <v>1.0736576141556511</v>
      </c>
    </row>
    <row r="797" spans="1:17" x14ac:dyDescent="0.25">
      <c r="A797" s="3">
        <v>796</v>
      </c>
      <c r="B797" s="3" t="s">
        <v>49</v>
      </c>
      <c r="C797" s="3" t="s">
        <v>50</v>
      </c>
      <c r="D797" s="3" t="s">
        <v>74</v>
      </c>
      <c r="E797" s="3">
        <v>4</v>
      </c>
      <c r="F797" s="3">
        <v>2023</v>
      </c>
      <c r="G797" s="9" t="s">
        <v>80</v>
      </c>
      <c r="H797" s="3">
        <v>1664</v>
      </c>
      <c r="I797" s="3">
        <v>1671</v>
      </c>
      <c r="J797" s="3">
        <v>-7</v>
      </c>
      <c r="K797" s="3">
        <v>0.4</v>
      </c>
      <c r="L797" s="3" t="s">
        <v>78</v>
      </c>
      <c r="M797">
        <f t="shared" si="70"/>
        <v>1237</v>
      </c>
      <c r="N797">
        <f t="shared" si="69"/>
        <v>2305.0533941601857</v>
      </c>
      <c r="O797">
        <f t="shared" si="66"/>
        <v>7</v>
      </c>
      <c r="P797" s="6">
        <f t="shared" si="67"/>
        <v>4.206730769230769E-3</v>
      </c>
      <c r="Q797" s="6">
        <f t="shared" si="68"/>
        <v>0.38524843399049619</v>
      </c>
    </row>
    <row r="798" spans="1:17" x14ac:dyDescent="0.25">
      <c r="A798" s="2">
        <v>797</v>
      </c>
      <c r="B798" s="2" t="s">
        <v>49</v>
      </c>
      <c r="C798" s="2" t="s">
        <v>50</v>
      </c>
      <c r="D798" s="2" t="s">
        <v>74</v>
      </c>
      <c r="E798" s="2">
        <v>5</v>
      </c>
      <c r="F798" s="2">
        <v>2023</v>
      </c>
      <c r="G798" s="8" t="s">
        <v>81</v>
      </c>
      <c r="H798" s="2">
        <v>1743</v>
      </c>
      <c r="I798" s="2">
        <v>1801</v>
      </c>
      <c r="J798" s="2">
        <v>-58</v>
      </c>
      <c r="K798" s="2">
        <v>3.3</v>
      </c>
      <c r="L798" s="2" t="s">
        <v>78</v>
      </c>
      <c r="M798">
        <f t="shared" si="70"/>
        <v>1370.6666666666667</v>
      </c>
      <c r="N798">
        <f t="shared" si="69"/>
        <v>2112.7373759121297</v>
      </c>
      <c r="O798">
        <f t="shared" si="66"/>
        <v>58</v>
      </c>
      <c r="P798" s="6">
        <f t="shared" si="67"/>
        <v>3.3275960986804361E-2</v>
      </c>
      <c r="Q798" s="6">
        <f t="shared" si="68"/>
        <v>0.2121270085554387</v>
      </c>
    </row>
    <row r="799" spans="1:17" x14ac:dyDescent="0.25">
      <c r="A799" s="3">
        <v>798</v>
      </c>
      <c r="B799" s="3" t="s">
        <v>49</v>
      </c>
      <c r="C799" s="3" t="s">
        <v>50</v>
      </c>
      <c r="D799" s="3" t="s">
        <v>74</v>
      </c>
      <c r="E799" s="3">
        <v>6</v>
      </c>
      <c r="F799" s="3">
        <v>2023</v>
      </c>
      <c r="G799" s="9" t="s">
        <v>82</v>
      </c>
      <c r="H799" s="3">
        <v>1615</v>
      </c>
      <c r="I799" s="3">
        <v>1725</v>
      </c>
      <c r="J799" s="3">
        <v>-110</v>
      </c>
      <c r="K799" s="3">
        <v>6.8</v>
      </c>
      <c r="L799" s="3" t="s">
        <v>78</v>
      </c>
      <c r="M799">
        <f t="shared" si="70"/>
        <v>1574.3333333333333</v>
      </c>
      <c r="N799">
        <f t="shared" si="69"/>
        <v>2001.8161631384905</v>
      </c>
      <c r="O799">
        <f t="shared" si="66"/>
        <v>110</v>
      </c>
      <c r="P799" s="6">
        <f t="shared" si="67"/>
        <v>6.8111455108359129E-2</v>
      </c>
      <c r="Q799" s="6">
        <f t="shared" si="68"/>
        <v>0.23951465209813655</v>
      </c>
    </row>
    <row r="800" spans="1:17" x14ac:dyDescent="0.25">
      <c r="A800" s="2">
        <v>799</v>
      </c>
      <c r="B800" s="2" t="s">
        <v>49</v>
      </c>
      <c r="C800" s="2" t="s">
        <v>50</v>
      </c>
      <c r="D800" s="2" t="s">
        <v>74</v>
      </c>
      <c r="E800" s="2">
        <v>7</v>
      </c>
      <c r="F800" s="2">
        <v>2023</v>
      </c>
      <c r="G800" s="8" t="s">
        <v>84</v>
      </c>
      <c r="H800" s="2">
        <v>1452</v>
      </c>
      <c r="I800" s="2">
        <v>1350</v>
      </c>
      <c r="J800" s="2">
        <v>102</v>
      </c>
      <c r="K800" s="2">
        <v>7</v>
      </c>
      <c r="L800" s="2" t="s">
        <v>78</v>
      </c>
      <c r="M800">
        <f t="shared" si="70"/>
        <v>1674</v>
      </c>
      <c r="N800">
        <f t="shared" si="69"/>
        <v>1885.7713141969432</v>
      </c>
      <c r="O800">
        <f t="shared" si="66"/>
        <v>102</v>
      </c>
      <c r="P800" s="6">
        <f t="shared" si="67"/>
        <v>7.0247933884297523E-2</v>
      </c>
      <c r="Q800" s="6">
        <f t="shared" si="68"/>
        <v>0.29874057451580111</v>
      </c>
    </row>
    <row r="801" spans="1:17" x14ac:dyDescent="0.25">
      <c r="A801" s="3">
        <v>800</v>
      </c>
      <c r="B801" s="3" t="s">
        <v>49</v>
      </c>
      <c r="C801" s="3" t="s">
        <v>50</v>
      </c>
      <c r="D801" s="3" t="s">
        <v>74</v>
      </c>
      <c r="E801" s="3">
        <v>8</v>
      </c>
      <c r="F801" s="3">
        <v>2023</v>
      </c>
      <c r="G801" s="9" t="s">
        <v>85</v>
      </c>
      <c r="H801" s="3">
        <v>1577</v>
      </c>
      <c r="I801" s="3">
        <v>1537</v>
      </c>
      <c r="J801" s="3">
        <v>40</v>
      </c>
      <c r="K801" s="3">
        <v>2.5</v>
      </c>
      <c r="L801" s="3" t="s">
        <v>83</v>
      </c>
      <c r="M801">
        <f t="shared" si="70"/>
        <v>1603.3333333333333</v>
      </c>
      <c r="N801">
        <f t="shared" si="69"/>
        <v>1755.63991993786</v>
      </c>
      <c r="O801">
        <f t="shared" si="66"/>
        <v>40</v>
      </c>
      <c r="P801" s="6">
        <f t="shared" si="67"/>
        <v>2.5364616360177554E-2</v>
      </c>
      <c r="Q801" s="6">
        <f t="shared" si="68"/>
        <v>0.11327832589591628</v>
      </c>
    </row>
    <row r="802" spans="1:17" x14ac:dyDescent="0.25">
      <c r="A802" s="2">
        <v>801</v>
      </c>
      <c r="B802" s="2" t="s">
        <v>49</v>
      </c>
      <c r="C802" s="2" t="s">
        <v>50</v>
      </c>
      <c r="D802" s="2" t="s">
        <v>74</v>
      </c>
      <c r="E802" s="2">
        <v>9</v>
      </c>
      <c r="F802" s="2">
        <v>2023</v>
      </c>
      <c r="G802" s="8" t="s">
        <v>86</v>
      </c>
      <c r="H802" s="2">
        <v>1549</v>
      </c>
      <c r="I802" s="2">
        <v>1683</v>
      </c>
      <c r="J802" s="2">
        <v>-134</v>
      </c>
      <c r="K802" s="2">
        <v>8.6999999999999993</v>
      </c>
      <c r="L802" s="2" t="s">
        <v>76</v>
      </c>
      <c r="M802">
        <f t="shared" si="70"/>
        <v>1548</v>
      </c>
      <c r="N802">
        <f t="shared" si="69"/>
        <v>1702.0479439565017</v>
      </c>
      <c r="O802">
        <f t="shared" si="66"/>
        <v>134</v>
      </c>
      <c r="P802" s="6">
        <f t="shared" si="67"/>
        <v>8.6507424144609421E-2</v>
      </c>
      <c r="Q802" s="6">
        <f t="shared" si="68"/>
        <v>9.8804353748548568E-2</v>
      </c>
    </row>
    <row r="803" spans="1:17" x14ac:dyDescent="0.25">
      <c r="A803" s="3">
        <v>802</v>
      </c>
      <c r="B803" s="3" t="s">
        <v>49</v>
      </c>
      <c r="C803" s="3" t="s">
        <v>50</v>
      </c>
      <c r="D803" s="3" t="s">
        <v>74</v>
      </c>
      <c r="E803" s="3">
        <v>10</v>
      </c>
      <c r="F803" s="3">
        <v>2023</v>
      </c>
      <c r="G803" s="9" t="s">
        <v>87</v>
      </c>
      <c r="H803" s="3">
        <v>1713</v>
      </c>
      <c r="I803" s="3">
        <v>1547</v>
      </c>
      <c r="J803" s="3">
        <v>166</v>
      </c>
      <c r="K803" s="3">
        <v>9.6999999999999993</v>
      </c>
      <c r="L803" s="3" t="s">
        <v>83</v>
      </c>
      <c r="M803">
        <f t="shared" si="70"/>
        <v>1526</v>
      </c>
      <c r="N803">
        <f t="shared" si="69"/>
        <v>1656.1335607695512</v>
      </c>
      <c r="O803">
        <f t="shared" si="66"/>
        <v>166</v>
      </c>
      <c r="P803" s="6">
        <f t="shared" si="67"/>
        <v>9.6906012842965558E-2</v>
      </c>
      <c r="Q803" s="6">
        <f t="shared" si="68"/>
        <v>3.3196987291563812E-2</v>
      </c>
    </row>
    <row r="804" spans="1:17" x14ac:dyDescent="0.25">
      <c r="A804" s="2">
        <v>803</v>
      </c>
      <c r="B804" s="2" t="s">
        <v>49</v>
      </c>
      <c r="C804" s="2" t="s">
        <v>50</v>
      </c>
      <c r="D804" s="2" t="s">
        <v>74</v>
      </c>
      <c r="E804" s="2">
        <v>11</v>
      </c>
      <c r="F804" s="2">
        <v>2023</v>
      </c>
      <c r="G804" s="8" t="s">
        <v>88</v>
      </c>
      <c r="H804" s="2">
        <v>1898</v>
      </c>
      <c r="I804" s="2">
        <v>1712</v>
      </c>
      <c r="J804" s="2">
        <v>186</v>
      </c>
      <c r="K804" s="2">
        <v>9.8000000000000007</v>
      </c>
      <c r="L804" s="2" t="s">
        <v>83</v>
      </c>
      <c r="M804">
        <f t="shared" si="70"/>
        <v>1613</v>
      </c>
      <c r="N804">
        <f t="shared" si="69"/>
        <v>1673.1934925386859</v>
      </c>
      <c r="O804">
        <f t="shared" si="66"/>
        <v>186</v>
      </c>
      <c r="P804" s="6">
        <f t="shared" si="67"/>
        <v>9.799789251844046E-2</v>
      </c>
      <c r="Q804" s="6">
        <f t="shared" si="68"/>
        <v>0.11844389223462283</v>
      </c>
    </row>
    <row r="805" spans="1:17" x14ac:dyDescent="0.25">
      <c r="A805" s="3">
        <v>804</v>
      </c>
      <c r="B805" s="3" t="s">
        <v>49</v>
      </c>
      <c r="C805" s="3" t="s">
        <v>50</v>
      </c>
      <c r="D805" s="3" t="s">
        <v>74</v>
      </c>
      <c r="E805" s="3">
        <v>12</v>
      </c>
      <c r="F805" s="3">
        <v>2023</v>
      </c>
      <c r="G805" s="9" t="s">
        <v>89</v>
      </c>
      <c r="H805" s="3">
        <v>2053</v>
      </c>
      <c r="I805" s="3">
        <v>2067</v>
      </c>
      <c r="J805" s="3">
        <v>-14</v>
      </c>
      <c r="K805" s="3">
        <v>0.7</v>
      </c>
      <c r="L805" s="3" t="s">
        <v>76</v>
      </c>
      <c r="M805">
        <f t="shared" si="70"/>
        <v>1720</v>
      </c>
      <c r="N805">
        <f t="shared" si="69"/>
        <v>1740.63544477708</v>
      </c>
      <c r="O805">
        <f t="shared" si="66"/>
        <v>14</v>
      </c>
      <c r="P805" s="6">
        <f t="shared" si="67"/>
        <v>6.8192888455918168E-3</v>
      </c>
      <c r="Q805" s="6">
        <f t="shared" si="68"/>
        <v>0.15215029479927911</v>
      </c>
    </row>
    <row r="806" spans="1:17" x14ac:dyDescent="0.25">
      <c r="A806" s="2">
        <v>805</v>
      </c>
      <c r="B806" s="2" t="s">
        <v>49</v>
      </c>
      <c r="C806" s="2" t="s">
        <v>50</v>
      </c>
      <c r="D806" s="2" t="s">
        <v>74</v>
      </c>
      <c r="E806" s="2">
        <v>1</v>
      </c>
      <c r="F806" s="2">
        <v>2024</v>
      </c>
      <c r="G806" s="8" t="s">
        <v>90</v>
      </c>
      <c r="H806" s="2">
        <v>1127</v>
      </c>
      <c r="I806" s="2">
        <v>1197</v>
      </c>
      <c r="J806" s="2">
        <v>-70</v>
      </c>
      <c r="K806" s="2">
        <v>6.2</v>
      </c>
      <c r="L806" s="2" t="s">
        <v>83</v>
      </c>
      <c r="M806">
        <f t="shared" si="70"/>
        <v>1888</v>
      </c>
      <c r="N806">
        <f t="shared" si="69"/>
        <v>1834.3448113439558</v>
      </c>
      <c r="O806">
        <f t="shared" si="66"/>
        <v>70</v>
      </c>
      <c r="P806" s="6">
        <f t="shared" si="67"/>
        <v>6.2111801242236024E-2</v>
      </c>
      <c r="Q806" s="6">
        <f t="shared" si="68"/>
        <v>0.62763514759889605</v>
      </c>
    </row>
    <row r="807" spans="1:17" x14ac:dyDescent="0.25">
      <c r="A807" s="3">
        <v>806</v>
      </c>
      <c r="B807" s="3" t="s">
        <v>49</v>
      </c>
      <c r="C807" s="3" t="s">
        <v>50</v>
      </c>
      <c r="D807" s="3" t="s">
        <v>74</v>
      </c>
      <c r="E807" s="3">
        <v>2</v>
      </c>
      <c r="F807" s="3">
        <v>2024</v>
      </c>
      <c r="G807" s="9" t="s">
        <v>91</v>
      </c>
      <c r="H807" s="3">
        <v>1209</v>
      </c>
      <c r="I807" s="3">
        <v>1315</v>
      </c>
      <c r="J807" s="3">
        <v>-106</v>
      </c>
      <c r="K807" s="3">
        <v>8.8000000000000007</v>
      </c>
      <c r="L807" s="3" t="s">
        <v>78</v>
      </c>
      <c r="M807">
        <f t="shared" si="70"/>
        <v>1692.6666666666667</v>
      </c>
      <c r="N807">
        <f t="shared" si="69"/>
        <v>1622.141367940769</v>
      </c>
      <c r="O807">
        <f t="shared" si="66"/>
        <v>106</v>
      </c>
      <c r="P807" s="6">
        <f t="shared" si="67"/>
        <v>8.7675765095119929E-2</v>
      </c>
      <c r="Q807" s="6">
        <f t="shared" si="68"/>
        <v>0.34172156157218281</v>
      </c>
    </row>
    <row r="808" spans="1:17" x14ac:dyDescent="0.25">
      <c r="A808" s="2">
        <v>807</v>
      </c>
      <c r="B808" s="2" t="s">
        <v>49</v>
      </c>
      <c r="C808" s="2" t="s">
        <v>50</v>
      </c>
      <c r="D808" s="2" t="s">
        <v>74</v>
      </c>
      <c r="E808" s="2">
        <v>3</v>
      </c>
      <c r="F808" s="2">
        <v>2024</v>
      </c>
      <c r="G808" s="8" t="s">
        <v>92</v>
      </c>
      <c r="H808" s="2">
        <v>1290</v>
      </c>
      <c r="I808" s="2">
        <v>1185</v>
      </c>
      <c r="J808" s="2">
        <v>105</v>
      </c>
      <c r="K808" s="2">
        <v>8.1</v>
      </c>
      <c r="L808" s="2" t="s">
        <v>78</v>
      </c>
      <c r="M808">
        <f t="shared" si="70"/>
        <v>1463</v>
      </c>
      <c r="N808">
        <f t="shared" si="69"/>
        <v>1498.1989575585383</v>
      </c>
      <c r="O808">
        <f t="shared" si="66"/>
        <v>105</v>
      </c>
      <c r="P808" s="6">
        <f t="shared" si="67"/>
        <v>8.1395348837209308E-2</v>
      </c>
      <c r="Q808" s="6">
        <f t="shared" si="68"/>
        <v>0.16139454074305293</v>
      </c>
    </row>
    <row r="809" spans="1:17" x14ac:dyDescent="0.25">
      <c r="A809" s="3">
        <v>808</v>
      </c>
      <c r="B809" s="3" t="s">
        <v>49</v>
      </c>
      <c r="C809" s="3" t="s">
        <v>50</v>
      </c>
      <c r="D809" s="3" t="s">
        <v>74</v>
      </c>
      <c r="E809" s="3">
        <v>4</v>
      </c>
      <c r="F809" s="3">
        <v>2024</v>
      </c>
      <c r="G809" s="9" t="s">
        <v>93</v>
      </c>
      <c r="H809" s="3">
        <v>1406</v>
      </c>
      <c r="I809" s="3">
        <v>1439</v>
      </c>
      <c r="J809" s="3">
        <v>-33</v>
      </c>
      <c r="K809" s="3">
        <v>2.2999999999999998</v>
      </c>
      <c r="L809" s="3" t="s">
        <v>76</v>
      </c>
      <c r="M809">
        <f t="shared" si="70"/>
        <v>1208.6666666666667</v>
      </c>
      <c r="N809">
        <f t="shared" si="69"/>
        <v>1435.7392702909767</v>
      </c>
      <c r="O809">
        <f t="shared" si="66"/>
        <v>33</v>
      </c>
      <c r="P809" s="6">
        <f t="shared" si="67"/>
        <v>2.3470839260312945E-2</v>
      </c>
      <c r="Q809" s="6">
        <f t="shared" si="68"/>
        <v>2.1151685839954991E-2</v>
      </c>
    </row>
    <row r="810" spans="1:17" x14ac:dyDescent="0.25">
      <c r="A810" s="2">
        <v>809</v>
      </c>
      <c r="B810" s="2" t="s">
        <v>49</v>
      </c>
      <c r="C810" s="2" t="s">
        <v>50</v>
      </c>
      <c r="D810" s="2" t="s">
        <v>74</v>
      </c>
      <c r="E810" s="2">
        <v>5</v>
      </c>
      <c r="F810" s="2">
        <v>2024</v>
      </c>
      <c r="G810" s="8" t="s">
        <v>94</v>
      </c>
      <c r="H810" s="2">
        <v>1694</v>
      </c>
      <c r="I810" s="2">
        <v>1615</v>
      </c>
      <c r="J810" s="2">
        <v>79</v>
      </c>
      <c r="K810" s="2">
        <v>4.7</v>
      </c>
      <c r="L810" s="2" t="s">
        <v>76</v>
      </c>
      <c r="M810">
        <f t="shared" si="70"/>
        <v>1301.6666666666667</v>
      </c>
      <c r="N810">
        <f t="shared" si="69"/>
        <v>1426.8174892036836</v>
      </c>
      <c r="O810">
        <f t="shared" si="66"/>
        <v>79</v>
      </c>
      <c r="P810" s="6">
        <f t="shared" si="67"/>
        <v>4.6635182998819365E-2</v>
      </c>
      <c r="Q810" s="6">
        <f t="shared" si="68"/>
        <v>0.15772285170974992</v>
      </c>
    </row>
    <row r="811" spans="1:17" x14ac:dyDescent="0.25">
      <c r="A811" s="3">
        <v>810</v>
      </c>
      <c r="B811" s="3" t="s">
        <v>49</v>
      </c>
      <c r="C811" s="3" t="s">
        <v>50</v>
      </c>
      <c r="D811" s="3" t="s">
        <v>74</v>
      </c>
      <c r="E811" s="3">
        <v>6</v>
      </c>
      <c r="F811" s="3">
        <v>2024</v>
      </c>
      <c r="G811" s="9" t="s">
        <v>95</v>
      </c>
      <c r="H811" s="3">
        <v>1483</v>
      </c>
      <c r="I811" s="3">
        <v>1619</v>
      </c>
      <c r="J811" s="3">
        <v>-136</v>
      </c>
      <c r="K811" s="3">
        <v>9.1999999999999993</v>
      </c>
      <c r="L811" s="3" t="s">
        <v>76</v>
      </c>
      <c r="M811">
        <f t="shared" si="70"/>
        <v>1463.3333333333333</v>
      </c>
      <c r="N811">
        <f t="shared" si="69"/>
        <v>1506.9722424425784</v>
      </c>
      <c r="O811">
        <f t="shared" si="66"/>
        <v>136</v>
      </c>
      <c r="P811" s="6">
        <f t="shared" si="67"/>
        <v>9.1706001348617672E-2</v>
      </c>
      <c r="Q811" s="6">
        <f t="shared" si="68"/>
        <v>1.6164694836532947E-2</v>
      </c>
    </row>
    <row r="812" spans="1:17" x14ac:dyDescent="0.25">
      <c r="A812" s="2">
        <v>811</v>
      </c>
      <c r="B812" s="2" t="s">
        <v>49</v>
      </c>
      <c r="C812" s="2" t="s">
        <v>50</v>
      </c>
      <c r="D812" s="2" t="s">
        <v>74</v>
      </c>
      <c r="E812" s="2">
        <v>7</v>
      </c>
      <c r="F812" s="2">
        <v>2024</v>
      </c>
      <c r="G812" s="8" t="s">
        <v>96</v>
      </c>
      <c r="H812" s="2">
        <v>1645</v>
      </c>
      <c r="I812" s="2">
        <v>1806</v>
      </c>
      <c r="J812" s="2">
        <v>-161</v>
      </c>
      <c r="K812" s="2">
        <v>9.8000000000000007</v>
      </c>
      <c r="L812" s="2" t="s">
        <v>78</v>
      </c>
      <c r="M812">
        <f t="shared" si="70"/>
        <v>1527.6666666666667</v>
      </c>
      <c r="N812">
        <f t="shared" si="69"/>
        <v>1499.7805697098047</v>
      </c>
      <c r="O812">
        <f t="shared" si="66"/>
        <v>161</v>
      </c>
      <c r="P812" s="6">
        <f t="shared" si="67"/>
        <v>9.7872340425531917E-2</v>
      </c>
      <c r="Q812" s="6">
        <f t="shared" si="68"/>
        <v>8.8279288930209907E-2</v>
      </c>
    </row>
    <row r="813" spans="1:17" x14ac:dyDescent="0.25">
      <c r="A813" s="3">
        <v>812</v>
      </c>
      <c r="B813" s="3" t="s">
        <v>49</v>
      </c>
      <c r="C813" s="3" t="s">
        <v>50</v>
      </c>
      <c r="D813" s="3" t="s">
        <v>74</v>
      </c>
      <c r="E813" s="3">
        <v>8</v>
      </c>
      <c r="F813" s="3">
        <v>2024</v>
      </c>
      <c r="G813" s="9" t="s">
        <v>97</v>
      </c>
      <c r="H813" s="3">
        <v>1499</v>
      </c>
      <c r="I813" s="3">
        <v>1597</v>
      </c>
      <c r="J813" s="3">
        <v>-98</v>
      </c>
      <c r="K813" s="3">
        <v>6.5</v>
      </c>
      <c r="L813" s="3" t="s">
        <v>78</v>
      </c>
      <c r="M813">
        <f t="shared" si="70"/>
        <v>1607.3333333333333</v>
      </c>
      <c r="N813">
        <f t="shared" si="69"/>
        <v>1543.3463987968632</v>
      </c>
      <c r="O813">
        <f t="shared" si="66"/>
        <v>98</v>
      </c>
      <c r="P813" s="6">
        <f t="shared" si="67"/>
        <v>6.5376917945296861E-2</v>
      </c>
      <c r="Q813" s="6">
        <f t="shared" si="68"/>
        <v>2.9583988523591221E-2</v>
      </c>
    </row>
    <row r="814" spans="1:17" x14ac:dyDescent="0.25">
      <c r="A814" s="2">
        <v>813</v>
      </c>
      <c r="B814" s="2" t="s">
        <v>49</v>
      </c>
      <c r="C814" s="2" t="s">
        <v>50</v>
      </c>
      <c r="D814" s="2" t="s">
        <v>74</v>
      </c>
      <c r="E814" s="2">
        <v>9</v>
      </c>
      <c r="F814" s="2">
        <v>2024</v>
      </c>
      <c r="G814" s="8" t="s">
        <v>98</v>
      </c>
      <c r="H814" s="2">
        <v>1555</v>
      </c>
      <c r="I814" s="2">
        <v>1666</v>
      </c>
      <c r="J814" s="2">
        <v>-111</v>
      </c>
      <c r="K814" s="2">
        <v>7.1</v>
      </c>
      <c r="L814" s="2" t="s">
        <v>78</v>
      </c>
      <c r="M814">
        <f t="shared" si="70"/>
        <v>1542.3333333333333</v>
      </c>
      <c r="N814">
        <f t="shared" si="69"/>
        <v>1530.0424791578043</v>
      </c>
      <c r="O814">
        <f t="shared" si="66"/>
        <v>111</v>
      </c>
      <c r="P814" s="6">
        <f t="shared" si="67"/>
        <v>7.1382636655948559E-2</v>
      </c>
      <c r="Q814" s="6">
        <f t="shared" si="68"/>
        <v>1.6049852631637083E-2</v>
      </c>
    </row>
    <row r="815" spans="1:17" x14ac:dyDescent="0.25">
      <c r="A815" s="3">
        <v>814</v>
      </c>
      <c r="B815" s="3" t="s">
        <v>49</v>
      </c>
      <c r="C815" s="3" t="s">
        <v>50</v>
      </c>
      <c r="D815" s="3" t="s">
        <v>74</v>
      </c>
      <c r="E815" s="3">
        <v>10</v>
      </c>
      <c r="F815" s="3">
        <v>2024</v>
      </c>
      <c r="G815" s="9" t="s">
        <v>99</v>
      </c>
      <c r="H815" s="3">
        <v>1489</v>
      </c>
      <c r="I815" s="3">
        <v>1453</v>
      </c>
      <c r="J815" s="3">
        <v>36</v>
      </c>
      <c r="K815" s="3">
        <v>2.4</v>
      </c>
      <c r="L815" s="3" t="s">
        <v>83</v>
      </c>
      <c r="M815">
        <f t="shared" si="70"/>
        <v>1566.3333333333333</v>
      </c>
      <c r="N815">
        <f t="shared" si="69"/>
        <v>1537.529735410463</v>
      </c>
      <c r="O815">
        <f t="shared" si="66"/>
        <v>36</v>
      </c>
      <c r="P815" s="6">
        <f t="shared" si="67"/>
        <v>2.41773002014775E-2</v>
      </c>
      <c r="Q815" s="6">
        <f t="shared" si="68"/>
        <v>3.2592166158806578E-2</v>
      </c>
    </row>
    <row r="816" spans="1:17" x14ac:dyDescent="0.25">
      <c r="A816" s="2">
        <v>815</v>
      </c>
      <c r="B816" s="2" t="s">
        <v>49</v>
      </c>
      <c r="C816" s="2" t="s">
        <v>50</v>
      </c>
      <c r="D816" s="2" t="s">
        <v>74</v>
      </c>
      <c r="E816" s="2">
        <v>11</v>
      </c>
      <c r="F816" s="2">
        <v>2024</v>
      </c>
      <c r="G816" s="8" t="s">
        <v>100</v>
      </c>
      <c r="H816" s="2">
        <v>1864</v>
      </c>
      <c r="I816" s="2">
        <v>1914</v>
      </c>
      <c r="J816" s="2">
        <v>-50</v>
      </c>
      <c r="K816" s="2">
        <v>2.7</v>
      </c>
      <c r="L816" s="2" t="s">
        <v>83</v>
      </c>
      <c r="M816">
        <f t="shared" si="70"/>
        <v>1514.3333333333333</v>
      </c>
      <c r="N816">
        <f t="shared" si="69"/>
        <v>1522.9708147873241</v>
      </c>
      <c r="O816">
        <f t="shared" si="66"/>
        <v>50</v>
      </c>
      <c r="P816" s="6">
        <f t="shared" si="67"/>
        <v>2.6824034334763949E-2</v>
      </c>
      <c r="Q816" s="6">
        <f t="shared" si="68"/>
        <v>0.18295557146602784</v>
      </c>
    </row>
    <row r="817" spans="1:17" x14ac:dyDescent="0.25">
      <c r="A817" s="3">
        <v>816</v>
      </c>
      <c r="B817" s="3" t="s">
        <v>49</v>
      </c>
      <c r="C817" s="3" t="s">
        <v>50</v>
      </c>
      <c r="D817" s="3" t="s">
        <v>74</v>
      </c>
      <c r="E817" s="3">
        <v>12</v>
      </c>
      <c r="F817" s="3">
        <v>2024</v>
      </c>
      <c r="G817" s="9" t="s">
        <v>101</v>
      </c>
      <c r="H817" s="3">
        <v>1796</v>
      </c>
      <c r="I817" s="3">
        <v>1795</v>
      </c>
      <c r="J817" s="3">
        <v>1</v>
      </c>
      <c r="K817" s="3">
        <v>0.1</v>
      </c>
      <c r="L817" s="3" t="s">
        <v>76</v>
      </c>
      <c r="M817">
        <f t="shared" si="70"/>
        <v>1636</v>
      </c>
      <c r="N817">
        <f t="shared" si="69"/>
        <v>1625.2795703511269</v>
      </c>
      <c r="O817">
        <f t="shared" si="66"/>
        <v>1</v>
      </c>
      <c r="P817" s="6">
        <f t="shared" si="67"/>
        <v>5.5679287305122492E-4</v>
      </c>
      <c r="Q817" s="6">
        <f t="shared" si="68"/>
        <v>9.5055918512735552E-2</v>
      </c>
    </row>
    <row r="818" spans="1:17" x14ac:dyDescent="0.25">
      <c r="A818" s="2">
        <v>817</v>
      </c>
      <c r="B818" s="2" t="s">
        <v>49</v>
      </c>
      <c r="C818" s="2" t="s">
        <v>50</v>
      </c>
      <c r="D818" s="2" t="s">
        <v>102</v>
      </c>
      <c r="E818" s="2">
        <v>1</v>
      </c>
      <c r="F818" s="2">
        <v>2023</v>
      </c>
      <c r="G818" s="8" t="s">
        <v>75</v>
      </c>
      <c r="H818" s="2">
        <v>1121</v>
      </c>
      <c r="I818" s="2">
        <v>1083</v>
      </c>
      <c r="J818" s="2">
        <v>38</v>
      </c>
      <c r="K818" s="2">
        <v>3.4</v>
      </c>
      <c r="L818" s="2" t="s">
        <v>78</v>
      </c>
      <c r="M818">
        <f t="shared" si="70"/>
        <v>1716.3333333333333</v>
      </c>
      <c r="N818">
        <f t="shared" si="69"/>
        <v>1676.4956992457887</v>
      </c>
      <c r="O818">
        <f t="shared" si="66"/>
        <v>38</v>
      </c>
      <c r="P818" s="6">
        <f t="shared" si="67"/>
        <v>3.3898305084745763E-2</v>
      </c>
      <c r="Q818" s="6">
        <f t="shared" si="68"/>
        <v>0.49553586016573481</v>
      </c>
    </row>
    <row r="819" spans="1:17" x14ac:dyDescent="0.25">
      <c r="A819" s="3">
        <v>818</v>
      </c>
      <c r="B819" s="3" t="s">
        <v>49</v>
      </c>
      <c r="C819" s="3" t="s">
        <v>50</v>
      </c>
      <c r="D819" s="3" t="s">
        <v>102</v>
      </c>
      <c r="E819" s="3">
        <v>2</v>
      </c>
      <c r="F819" s="3">
        <v>2023</v>
      </c>
      <c r="G819" s="9" t="s">
        <v>77</v>
      </c>
      <c r="H819" s="3">
        <v>1144</v>
      </c>
      <c r="I819" s="3">
        <v>1239</v>
      </c>
      <c r="J819" s="3">
        <v>-95</v>
      </c>
      <c r="K819" s="3">
        <v>8.3000000000000007</v>
      </c>
      <c r="L819" s="3" t="s">
        <v>78</v>
      </c>
      <c r="M819">
        <f t="shared" si="70"/>
        <v>1593.6666666666667</v>
      </c>
      <c r="N819">
        <f t="shared" si="69"/>
        <v>1509.846989472052</v>
      </c>
      <c r="O819">
        <f t="shared" si="66"/>
        <v>95</v>
      </c>
      <c r="P819" s="6">
        <f t="shared" si="67"/>
        <v>8.3041958041958047E-2</v>
      </c>
      <c r="Q819" s="6">
        <f t="shared" si="68"/>
        <v>0.3197963194685769</v>
      </c>
    </row>
    <row r="820" spans="1:17" x14ac:dyDescent="0.25">
      <c r="A820" s="2">
        <v>819</v>
      </c>
      <c r="B820" s="2" t="s">
        <v>49</v>
      </c>
      <c r="C820" s="2" t="s">
        <v>50</v>
      </c>
      <c r="D820" s="2" t="s">
        <v>102</v>
      </c>
      <c r="E820" s="2">
        <v>3</v>
      </c>
      <c r="F820" s="2">
        <v>2023</v>
      </c>
      <c r="G820" s="8" t="s">
        <v>79</v>
      </c>
      <c r="H820" s="2">
        <v>1127</v>
      </c>
      <c r="I820" s="2">
        <v>1209</v>
      </c>
      <c r="J820" s="2">
        <v>-82</v>
      </c>
      <c r="K820" s="2">
        <v>7.3</v>
      </c>
      <c r="L820" s="2" t="s">
        <v>83</v>
      </c>
      <c r="M820">
        <f t="shared" si="70"/>
        <v>1353.6666666666667</v>
      </c>
      <c r="N820">
        <f t="shared" si="69"/>
        <v>1400.0928926304364</v>
      </c>
      <c r="O820">
        <f t="shared" si="66"/>
        <v>82</v>
      </c>
      <c r="P820" s="6">
        <f t="shared" si="67"/>
        <v>7.2759538598047915E-2</v>
      </c>
      <c r="Q820" s="6">
        <f t="shared" si="68"/>
        <v>0.24231844953898526</v>
      </c>
    </row>
    <row r="821" spans="1:17" x14ac:dyDescent="0.25">
      <c r="A821" s="3">
        <v>820</v>
      </c>
      <c r="B821" s="3" t="s">
        <v>49</v>
      </c>
      <c r="C821" s="3" t="s">
        <v>50</v>
      </c>
      <c r="D821" s="3" t="s">
        <v>102</v>
      </c>
      <c r="E821" s="3">
        <v>4</v>
      </c>
      <c r="F821" s="3">
        <v>2023</v>
      </c>
      <c r="G821" s="9" t="s">
        <v>80</v>
      </c>
      <c r="H821" s="3">
        <v>1267</v>
      </c>
      <c r="I821" s="3">
        <v>1152</v>
      </c>
      <c r="J821" s="3">
        <v>115</v>
      </c>
      <c r="K821" s="3">
        <v>9.1</v>
      </c>
      <c r="L821" s="3" t="s">
        <v>78</v>
      </c>
      <c r="M821">
        <f t="shared" si="70"/>
        <v>1130.6666666666667</v>
      </c>
      <c r="N821">
        <f t="shared" si="69"/>
        <v>1318.1650248413055</v>
      </c>
      <c r="O821">
        <f t="shared" si="66"/>
        <v>115</v>
      </c>
      <c r="P821" s="6">
        <f t="shared" si="67"/>
        <v>9.0765588003157066E-2</v>
      </c>
      <c r="Q821" s="6">
        <f t="shared" si="68"/>
        <v>4.0382813607975902E-2</v>
      </c>
    </row>
    <row r="822" spans="1:17" x14ac:dyDescent="0.25">
      <c r="A822" s="2">
        <v>821</v>
      </c>
      <c r="B822" s="2" t="s">
        <v>49</v>
      </c>
      <c r="C822" s="2" t="s">
        <v>50</v>
      </c>
      <c r="D822" s="2" t="s">
        <v>102</v>
      </c>
      <c r="E822" s="2">
        <v>5</v>
      </c>
      <c r="F822" s="2">
        <v>2023</v>
      </c>
      <c r="G822" s="8" t="s">
        <v>81</v>
      </c>
      <c r="H822" s="2">
        <v>1398</v>
      </c>
      <c r="I822" s="2">
        <v>1336</v>
      </c>
      <c r="J822" s="2">
        <v>62</v>
      </c>
      <c r="K822" s="2">
        <v>4.4000000000000004</v>
      </c>
      <c r="L822" s="2" t="s">
        <v>83</v>
      </c>
      <c r="M822">
        <f t="shared" si="70"/>
        <v>1179.3333333333333</v>
      </c>
      <c r="N822">
        <f t="shared" si="69"/>
        <v>1302.8155173889138</v>
      </c>
      <c r="O822">
        <f t="shared" si="66"/>
        <v>62</v>
      </c>
      <c r="P822" s="6">
        <f t="shared" si="67"/>
        <v>4.4349070100143065E-2</v>
      </c>
      <c r="Q822" s="6">
        <f t="shared" si="68"/>
        <v>6.808618212524048E-2</v>
      </c>
    </row>
    <row r="823" spans="1:17" x14ac:dyDescent="0.25">
      <c r="A823" s="3">
        <v>822</v>
      </c>
      <c r="B823" s="3" t="s">
        <v>49</v>
      </c>
      <c r="C823" s="3" t="s">
        <v>50</v>
      </c>
      <c r="D823" s="3" t="s">
        <v>102</v>
      </c>
      <c r="E823" s="3">
        <v>6</v>
      </c>
      <c r="F823" s="3">
        <v>2023</v>
      </c>
      <c r="G823" s="9" t="s">
        <v>82</v>
      </c>
      <c r="H823" s="3">
        <v>1423</v>
      </c>
      <c r="I823" s="3">
        <v>1290</v>
      </c>
      <c r="J823" s="3">
        <v>133</v>
      </c>
      <c r="K823" s="3">
        <v>9.3000000000000007</v>
      </c>
      <c r="L823" s="3" t="s">
        <v>76</v>
      </c>
      <c r="M823">
        <f t="shared" si="70"/>
        <v>1264</v>
      </c>
      <c r="N823">
        <f t="shared" si="69"/>
        <v>1331.3708621722394</v>
      </c>
      <c r="O823">
        <f t="shared" si="66"/>
        <v>133</v>
      </c>
      <c r="P823" s="6">
        <f t="shared" si="67"/>
        <v>9.3464511595221358E-2</v>
      </c>
      <c r="Q823" s="6">
        <f t="shared" si="68"/>
        <v>6.4391523420773422E-2</v>
      </c>
    </row>
    <row r="824" spans="1:17" x14ac:dyDescent="0.25">
      <c r="A824" s="2">
        <v>823</v>
      </c>
      <c r="B824" s="2" t="s">
        <v>49</v>
      </c>
      <c r="C824" s="2" t="s">
        <v>50</v>
      </c>
      <c r="D824" s="2" t="s">
        <v>102</v>
      </c>
      <c r="E824" s="2">
        <v>7</v>
      </c>
      <c r="F824" s="2">
        <v>2023</v>
      </c>
      <c r="G824" s="8" t="s">
        <v>84</v>
      </c>
      <c r="H824" s="2">
        <v>1216</v>
      </c>
      <c r="I824" s="2">
        <v>1144</v>
      </c>
      <c r="J824" s="2">
        <v>72</v>
      </c>
      <c r="K824" s="2">
        <v>5.9</v>
      </c>
      <c r="L824" s="2" t="s">
        <v>78</v>
      </c>
      <c r="M824">
        <f t="shared" si="70"/>
        <v>1362.6666666666667</v>
      </c>
      <c r="N824">
        <f t="shared" si="69"/>
        <v>1358.8596035205674</v>
      </c>
      <c r="O824">
        <f t="shared" si="66"/>
        <v>72</v>
      </c>
      <c r="P824" s="6">
        <f t="shared" si="67"/>
        <v>5.921052631578947E-2</v>
      </c>
      <c r="Q824" s="6">
        <f t="shared" si="68"/>
        <v>0.11748322657941394</v>
      </c>
    </row>
    <row r="825" spans="1:17" x14ac:dyDescent="0.25">
      <c r="A825" s="3">
        <v>824</v>
      </c>
      <c r="B825" s="3" t="s">
        <v>49</v>
      </c>
      <c r="C825" s="3" t="s">
        <v>50</v>
      </c>
      <c r="D825" s="3" t="s">
        <v>102</v>
      </c>
      <c r="E825" s="3">
        <v>8</v>
      </c>
      <c r="F825" s="3">
        <v>2023</v>
      </c>
      <c r="G825" s="9" t="s">
        <v>85</v>
      </c>
      <c r="H825" s="3">
        <v>1419</v>
      </c>
      <c r="I825" s="3">
        <v>1479</v>
      </c>
      <c r="J825" s="3">
        <v>-60</v>
      </c>
      <c r="K825" s="3">
        <v>4.2</v>
      </c>
      <c r="L825" s="3" t="s">
        <v>76</v>
      </c>
      <c r="M825">
        <f t="shared" si="70"/>
        <v>1345.6666666666667</v>
      </c>
      <c r="N825">
        <f t="shared" si="69"/>
        <v>1316.0017224643971</v>
      </c>
      <c r="O825">
        <f t="shared" si="66"/>
        <v>60</v>
      </c>
      <c r="P825" s="6">
        <f t="shared" si="67"/>
        <v>4.2283298097251586E-2</v>
      </c>
      <c r="Q825" s="6">
        <f t="shared" si="68"/>
        <v>7.2585114542355847E-2</v>
      </c>
    </row>
    <row r="826" spans="1:17" x14ac:dyDescent="0.25">
      <c r="A826" s="2">
        <v>825</v>
      </c>
      <c r="B826" s="2" t="s">
        <v>49</v>
      </c>
      <c r="C826" s="2" t="s">
        <v>50</v>
      </c>
      <c r="D826" s="2" t="s">
        <v>102</v>
      </c>
      <c r="E826" s="2">
        <v>9</v>
      </c>
      <c r="F826" s="2">
        <v>2023</v>
      </c>
      <c r="G826" s="8" t="s">
        <v>86</v>
      </c>
      <c r="H826" s="2">
        <v>1406</v>
      </c>
      <c r="I826" s="2">
        <v>1349</v>
      </c>
      <c r="J826" s="2">
        <v>57</v>
      </c>
      <c r="K826" s="2">
        <v>4.0999999999999996</v>
      </c>
      <c r="L826" s="2" t="s">
        <v>83</v>
      </c>
      <c r="M826">
        <f t="shared" si="70"/>
        <v>1352.6666666666667</v>
      </c>
      <c r="N826">
        <f t="shared" si="69"/>
        <v>1346.9012057250779</v>
      </c>
      <c r="O826">
        <f t="shared" si="66"/>
        <v>57</v>
      </c>
      <c r="P826" s="6">
        <f t="shared" si="67"/>
        <v>4.0540540540540543E-2</v>
      </c>
      <c r="Q826" s="6">
        <f t="shared" si="68"/>
        <v>4.2033281845606014E-2</v>
      </c>
    </row>
    <row r="827" spans="1:17" x14ac:dyDescent="0.25">
      <c r="A827" s="3">
        <v>826</v>
      </c>
      <c r="B827" s="3" t="s">
        <v>49</v>
      </c>
      <c r="C827" s="3" t="s">
        <v>50</v>
      </c>
      <c r="D827" s="3" t="s">
        <v>102</v>
      </c>
      <c r="E827" s="3">
        <v>10</v>
      </c>
      <c r="F827" s="3">
        <v>2023</v>
      </c>
      <c r="G827" s="9" t="s">
        <v>87</v>
      </c>
      <c r="H827" s="3">
        <v>1315</v>
      </c>
      <c r="I827" s="3">
        <v>1403</v>
      </c>
      <c r="J827" s="3">
        <v>-88</v>
      </c>
      <c r="K827" s="3">
        <v>6.7</v>
      </c>
      <c r="L827" s="3" t="s">
        <v>76</v>
      </c>
      <c r="M827">
        <f t="shared" si="70"/>
        <v>1347</v>
      </c>
      <c r="N827">
        <f t="shared" si="69"/>
        <v>1364.6308440075545</v>
      </c>
      <c r="O827">
        <f t="shared" si="66"/>
        <v>88</v>
      </c>
      <c r="P827" s="6">
        <f t="shared" si="67"/>
        <v>6.692015209125475E-2</v>
      </c>
      <c r="Q827" s="6">
        <f t="shared" si="68"/>
        <v>3.7742086697760087E-2</v>
      </c>
    </row>
    <row r="828" spans="1:17" x14ac:dyDescent="0.25">
      <c r="A828" s="2">
        <v>827</v>
      </c>
      <c r="B828" s="2" t="s">
        <v>49</v>
      </c>
      <c r="C828" s="2" t="s">
        <v>50</v>
      </c>
      <c r="D828" s="2" t="s">
        <v>102</v>
      </c>
      <c r="E828" s="2">
        <v>11</v>
      </c>
      <c r="F828" s="2">
        <v>2023</v>
      </c>
      <c r="G828" s="8" t="s">
        <v>88</v>
      </c>
      <c r="H828" s="2">
        <v>1661</v>
      </c>
      <c r="I828" s="2">
        <v>1674</v>
      </c>
      <c r="J828" s="2">
        <v>-13</v>
      </c>
      <c r="K828" s="2">
        <v>0.8</v>
      </c>
      <c r="L828" s="2" t="s">
        <v>76</v>
      </c>
      <c r="M828">
        <f t="shared" si="70"/>
        <v>1380</v>
      </c>
      <c r="N828">
        <f t="shared" si="69"/>
        <v>1349.7415908052881</v>
      </c>
      <c r="O828">
        <f t="shared" si="66"/>
        <v>13</v>
      </c>
      <c r="P828" s="6">
        <f t="shared" si="67"/>
        <v>7.826610475617099E-3</v>
      </c>
      <c r="Q828" s="6">
        <f t="shared" si="68"/>
        <v>0.18739217892517274</v>
      </c>
    </row>
    <row r="829" spans="1:17" x14ac:dyDescent="0.25">
      <c r="A829" s="3">
        <v>828</v>
      </c>
      <c r="B829" s="3" t="s">
        <v>49</v>
      </c>
      <c r="C829" s="3" t="s">
        <v>50</v>
      </c>
      <c r="D829" s="3" t="s">
        <v>102</v>
      </c>
      <c r="E829" s="3">
        <v>12</v>
      </c>
      <c r="F829" s="3">
        <v>2023</v>
      </c>
      <c r="G829" s="9" t="s">
        <v>89</v>
      </c>
      <c r="H829" s="3">
        <v>1759</v>
      </c>
      <c r="I829" s="3">
        <v>1632</v>
      </c>
      <c r="J829" s="3">
        <v>127</v>
      </c>
      <c r="K829" s="3">
        <v>7.2</v>
      </c>
      <c r="L829" s="3" t="s">
        <v>83</v>
      </c>
      <c r="M829">
        <f t="shared" si="70"/>
        <v>1460.6666666666667</v>
      </c>
      <c r="N829">
        <f t="shared" si="69"/>
        <v>1443.1191135637014</v>
      </c>
      <c r="O829">
        <f t="shared" si="66"/>
        <v>127</v>
      </c>
      <c r="P829" s="6">
        <f t="shared" si="67"/>
        <v>7.2200113700966462E-2</v>
      </c>
      <c r="Q829" s="6">
        <f t="shared" si="68"/>
        <v>0.1795798103674239</v>
      </c>
    </row>
    <row r="830" spans="1:17" x14ac:dyDescent="0.25">
      <c r="A830" s="2">
        <v>829</v>
      </c>
      <c r="B830" s="2" t="s">
        <v>49</v>
      </c>
      <c r="C830" s="2" t="s">
        <v>50</v>
      </c>
      <c r="D830" s="2" t="s">
        <v>102</v>
      </c>
      <c r="E830" s="2">
        <v>1</v>
      </c>
      <c r="F830" s="2">
        <v>2024</v>
      </c>
      <c r="G830" s="8" t="s">
        <v>90</v>
      </c>
      <c r="H830" s="2">
        <v>1142</v>
      </c>
      <c r="I830" s="2">
        <v>1142</v>
      </c>
      <c r="J830" s="2">
        <v>0</v>
      </c>
      <c r="K830" s="2">
        <v>0</v>
      </c>
      <c r="L830" s="2" t="s">
        <v>76</v>
      </c>
      <c r="M830">
        <f t="shared" si="70"/>
        <v>1578.3333333333333</v>
      </c>
      <c r="N830">
        <f t="shared" si="69"/>
        <v>1537.8833794945908</v>
      </c>
      <c r="O830">
        <f t="shared" si="66"/>
        <v>0</v>
      </c>
      <c r="P830" s="6">
        <f t="shared" si="67"/>
        <v>0</v>
      </c>
      <c r="Q830" s="6">
        <f t="shared" si="68"/>
        <v>0.34665795052065745</v>
      </c>
    </row>
    <row r="831" spans="1:17" x14ac:dyDescent="0.25">
      <c r="A831" s="3">
        <v>830</v>
      </c>
      <c r="B831" s="3" t="s">
        <v>49</v>
      </c>
      <c r="C831" s="3" t="s">
        <v>50</v>
      </c>
      <c r="D831" s="3" t="s">
        <v>102</v>
      </c>
      <c r="E831" s="3">
        <v>2</v>
      </c>
      <c r="F831" s="3">
        <v>2024</v>
      </c>
      <c r="G831" s="9" t="s">
        <v>91</v>
      </c>
      <c r="H831" s="3">
        <v>933</v>
      </c>
      <c r="I831" s="3">
        <v>921</v>
      </c>
      <c r="J831" s="3">
        <v>12</v>
      </c>
      <c r="K831" s="3">
        <v>1.3</v>
      </c>
      <c r="L831" s="3" t="s">
        <v>78</v>
      </c>
      <c r="M831">
        <f t="shared" si="70"/>
        <v>1520.6666666666667</v>
      </c>
      <c r="N831">
        <f t="shared" si="69"/>
        <v>1419.1183656462133</v>
      </c>
      <c r="O831">
        <f t="shared" si="66"/>
        <v>12</v>
      </c>
      <c r="P831" s="6">
        <f t="shared" si="67"/>
        <v>1.2861736334405145E-2</v>
      </c>
      <c r="Q831" s="6">
        <f t="shared" si="68"/>
        <v>0.52102718718779562</v>
      </c>
    </row>
    <row r="832" spans="1:17" x14ac:dyDescent="0.25">
      <c r="A832" s="2">
        <v>831</v>
      </c>
      <c r="B832" s="2" t="s">
        <v>49</v>
      </c>
      <c r="C832" s="2" t="s">
        <v>50</v>
      </c>
      <c r="D832" s="2" t="s">
        <v>102</v>
      </c>
      <c r="E832" s="2">
        <v>3</v>
      </c>
      <c r="F832" s="2">
        <v>2024</v>
      </c>
      <c r="G832" s="8" t="s">
        <v>92</v>
      </c>
      <c r="H832" s="2">
        <v>1164</v>
      </c>
      <c r="I832" s="2">
        <v>1226</v>
      </c>
      <c r="J832" s="2">
        <v>-62</v>
      </c>
      <c r="K832" s="2">
        <v>5.3</v>
      </c>
      <c r="L832" s="2" t="s">
        <v>83</v>
      </c>
      <c r="M832">
        <f t="shared" si="70"/>
        <v>1278</v>
      </c>
      <c r="N832">
        <f t="shared" si="69"/>
        <v>1273.2828559523491</v>
      </c>
      <c r="O832">
        <f t="shared" si="66"/>
        <v>62</v>
      </c>
      <c r="P832" s="6">
        <f t="shared" si="67"/>
        <v>5.3264604810996562E-2</v>
      </c>
      <c r="Q832" s="6">
        <f t="shared" si="68"/>
        <v>9.3885615079337723E-2</v>
      </c>
    </row>
    <row r="833" spans="1:17" x14ac:dyDescent="0.25">
      <c r="A833" s="3">
        <v>832</v>
      </c>
      <c r="B833" s="3" t="s">
        <v>49</v>
      </c>
      <c r="C833" s="3" t="s">
        <v>50</v>
      </c>
      <c r="D833" s="3" t="s">
        <v>102</v>
      </c>
      <c r="E833" s="3">
        <v>4</v>
      </c>
      <c r="F833" s="3">
        <v>2024</v>
      </c>
      <c r="G833" s="9" t="s">
        <v>93</v>
      </c>
      <c r="H833" s="3">
        <v>1243</v>
      </c>
      <c r="I833" s="3">
        <v>1311</v>
      </c>
      <c r="J833" s="3">
        <v>-68</v>
      </c>
      <c r="K833" s="3">
        <v>5.5</v>
      </c>
      <c r="L833" s="3" t="s">
        <v>78</v>
      </c>
      <c r="M833">
        <f t="shared" si="70"/>
        <v>1079.6666666666667</v>
      </c>
      <c r="N833">
        <f t="shared" si="69"/>
        <v>1240.4979991666444</v>
      </c>
      <c r="O833">
        <f t="shared" si="66"/>
        <v>68</v>
      </c>
      <c r="P833" s="6">
        <f t="shared" si="67"/>
        <v>5.4706355591311345E-2</v>
      </c>
      <c r="Q833" s="6">
        <f t="shared" si="68"/>
        <v>2.0128727541075006E-3</v>
      </c>
    </row>
    <row r="834" spans="1:17" x14ac:dyDescent="0.25">
      <c r="A834" s="2">
        <v>833</v>
      </c>
      <c r="B834" s="2" t="s">
        <v>49</v>
      </c>
      <c r="C834" s="2" t="s">
        <v>50</v>
      </c>
      <c r="D834" s="2" t="s">
        <v>102</v>
      </c>
      <c r="E834" s="2">
        <v>5</v>
      </c>
      <c r="F834" s="2">
        <v>2024</v>
      </c>
      <c r="G834" s="8" t="s">
        <v>94</v>
      </c>
      <c r="H834" s="2">
        <v>1381</v>
      </c>
      <c r="I834" s="2">
        <v>1459</v>
      </c>
      <c r="J834" s="2">
        <v>-78</v>
      </c>
      <c r="K834" s="2">
        <v>5.6</v>
      </c>
      <c r="L834" s="2" t="s">
        <v>76</v>
      </c>
      <c r="M834">
        <f t="shared" si="70"/>
        <v>1113.3333333333333</v>
      </c>
      <c r="N834">
        <f t="shared" si="69"/>
        <v>1241.2485994166509</v>
      </c>
      <c r="O834">
        <f t="shared" si="66"/>
        <v>78</v>
      </c>
      <c r="P834" s="6">
        <f t="shared" si="67"/>
        <v>5.6480811006517015E-2</v>
      </c>
      <c r="Q834" s="6">
        <f t="shared" si="68"/>
        <v>0.10119580056723324</v>
      </c>
    </row>
    <row r="835" spans="1:17" x14ac:dyDescent="0.25">
      <c r="A835" s="3">
        <v>834</v>
      </c>
      <c r="B835" s="3" t="s">
        <v>49</v>
      </c>
      <c r="C835" s="3" t="s">
        <v>50</v>
      </c>
      <c r="D835" s="3" t="s">
        <v>102</v>
      </c>
      <c r="E835" s="3">
        <v>6</v>
      </c>
      <c r="F835" s="3">
        <v>2024</v>
      </c>
      <c r="G835" s="9" t="s">
        <v>95</v>
      </c>
      <c r="H835" s="3">
        <v>1399</v>
      </c>
      <c r="I835" s="3">
        <v>1358</v>
      </c>
      <c r="J835" s="3">
        <v>41</v>
      </c>
      <c r="K835" s="3">
        <v>2.9</v>
      </c>
      <c r="L835" s="3" t="s">
        <v>76</v>
      </c>
      <c r="M835">
        <f t="shared" si="70"/>
        <v>1262.6666666666667</v>
      </c>
      <c r="N835">
        <f t="shared" si="69"/>
        <v>1283.1740195916557</v>
      </c>
      <c r="O835">
        <f t="shared" ref="O835:O898" si="71">ABS(H835-I835)</f>
        <v>41</v>
      </c>
      <c r="P835" s="6">
        <f t="shared" ref="P835:P898" si="72">ABS(O835)/H835</f>
        <v>2.9306647605432452E-2</v>
      </c>
      <c r="Q835" s="6">
        <f t="shared" ref="Q835:Q898" si="73">ABS((H835-N835))/H835</f>
        <v>8.2791980277587079E-2</v>
      </c>
    </row>
    <row r="836" spans="1:17" x14ac:dyDescent="0.25">
      <c r="A836" s="2">
        <v>835</v>
      </c>
      <c r="B836" s="2" t="s">
        <v>49</v>
      </c>
      <c r="C836" s="2" t="s">
        <v>50</v>
      </c>
      <c r="D836" s="2" t="s">
        <v>102</v>
      </c>
      <c r="E836" s="2">
        <v>7</v>
      </c>
      <c r="F836" s="2">
        <v>2024</v>
      </c>
      <c r="G836" s="8" t="s">
        <v>96</v>
      </c>
      <c r="H836" s="2">
        <v>1354</v>
      </c>
      <c r="I836" s="2">
        <v>1402</v>
      </c>
      <c r="J836" s="2">
        <v>-48</v>
      </c>
      <c r="K836" s="2">
        <v>3.5</v>
      </c>
      <c r="L836" s="2" t="s">
        <v>83</v>
      </c>
      <c r="M836">
        <f t="shared" si="70"/>
        <v>1341</v>
      </c>
      <c r="N836">
        <f t="shared" ref="N836:N899" si="74">0.3*H835+(0.7*N835)</f>
        <v>1317.9218137141588</v>
      </c>
      <c r="O836">
        <f t="shared" si="71"/>
        <v>48</v>
      </c>
      <c r="P836" s="6">
        <f t="shared" si="72"/>
        <v>3.5450516986706058E-2</v>
      </c>
      <c r="Q836" s="6">
        <f t="shared" si="73"/>
        <v>2.6645632411994965E-2</v>
      </c>
    </row>
    <row r="837" spans="1:17" x14ac:dyDescent="0.25">
      <c r="A837" s="3">
        <v>836</v>
      </c>
      <c r="B837" s="3" t="s">
        <v>49</v>
      </c>
      <c r="C837" s="3" t="s">
        <v>50</v>
      </c>
      <c r="D837" s="3" t="s">
        <v>102</v>
      </c>
      <c r="E837" s="3">
        <v>8</v>
      </c>
      <c r="F837" s="3">
        <v>2024</v>
      </c>
      <c r="G837" s="9" t="s">
        <v>97</v>
      </c>
      <c r="H837" s="3">
        <v>1300</v>
      </c>
      <c r="I837" s="3">
        <v>1370</v>
      </c>
      <c r="J837" s="3">
        <v>-70</v>
      </c>
      <c r="K837" s="3">
        <v>5.4</v>
      </c>
      <c r="L837" s="3" t="s">
        <v>76</v>
      </c>
      <c r="M837">
        <f t="shared" si="70"/>
        <v>1378</v>
      </c>
      <c r="N837">
        <f t="shared" si="74"/>
        <v>1328.7452695999111</v>
      </c>
      <c r="O837">
        <f t="shared" si="71"/>
        <v>70</v>
      </c>
      <c r="P837" s="6">
        <f t="shared" si="72"/>
        <v>5.3846153846153849E-2</v>
      </c>
      <c r="Q837" s="6">
        <f t="shared" si="73"/>
        <v>2.2111745846085482E-2</v>
      </c>
    </row>
    <row r="838" spans="1:17" x14ac:dyDescent="0.25">
      <c r="A838" s="2">
        <v>837</v>
      </c>
      <c r="B838" s="2" t="s">
        <v>49</v>
      </c>
      <c r="C838" s="2" t="s">
        <v>50</v>
      </c>
      <c r="D838" s="2" t="s">
        <v>102</v>
      </c>
      <c r="E838" s="2">
        <v>9</v>
      </c>
      <c r="F838" s="2">
        <v>2024</v>
      </c>
      <c r="G838" s="8" t="s">
        <v>98</v>
      </c>
      <c r="H838" s="2">
        <v>1366</v>
      </c>
      <c r="I838" s="2">
        <v>1424</v>
      </c>
      <c r="J838" s="2">
        <v>-58</v>
      </c>
      <c r="K838" s="2">
        <v>4.2</v>
      </c>
      <c r="L838" s="2" t="s">
        <v>78</v>
      </c>
      <c r="M838">
        <f t="shared" ref="M838:M901" si="75">AVERAGE(H835:H837)</f>
        <v>1351</v>
      </c>
      <c r="N838">
        <f t="shared" si="74"/>
        <v>1320.1216887199378</v>
      </c>
      <c r="O838">
        <f t="shared" si="71"/>
        <v>58</v>
      </c>
      <c r="P838" s="6">
        <f t="shared" si="72"/>
        <v>4.24597364568082E-2</v>
      </c>
      <c r="Q838" s="6">
        <f t="shared" si="73"/>
        <v>3.3585879414394025E-2</v>
      </c>
    </row>
    <row r="839" spans="1:17" x14ac:dyDescent="0.25">
      <c r="A839" s="3">
        <v>838</v>
      </c>
      <c r="B839" s="3" t="s">
        <v>49</v>
      </c>
      <c r="C839" s="3" t="s">
        <v>50</v>
      </c>
      <c r="D839" s="3" t="s">
        <v>102</v>
      </c>
      <c r="E839" s="3">
        <v>10</v>
      </c>
      <c r="F839" s="3">
        <v>2024</v>
      </c>
      <c r="G839" s="9" t="s">
        <v>99</v>
      </c>
      <c r="H839" s="3">
        <v>1324</v>
      </c>
      <c r="I839" s="3">
        <v>1292</v>
      </c>
      <c r="J839" s="3">
        <v>32</v>
      </c>
      <c r="K839" s="3">
        <v>2.4</v>
      </c>
      <c r="L839" s="3" t="s">
        <v>83</v>
      </c>
      <c r="M839">
        <f t="shared" si="75"/>
        <v>1340</v>
      </c>
      <c r="N839">
        <f t="shared" si="74"/>
        <v>1333.8851821039564</v>
      </c>
      <c r="O839">
        <f t="shared" si="71"/>
        <v>32</v>
      </c>
      <c r="P839" s="6">
        <f t="shared" si="72"/>
        <v>2.4169184290030211E-2</v>
      </c>
      <c r="Q839" s="6">
        <f t="shared" si="73"/>
        <v>7.4661496253446884E-3</v>
      </c>
    </row>
    <row r="840" spans="1:17" x14ac:dyDescent="0.25">
      <c r="A840" s="2">
        <v>839</v>
      </c>
      <c r="B840" s="2" t="s">
        <v>49</v>
      </c>
      <c r="C840" s="2" t="s">
        <v>50</v>
      </c>
      <c r="D840" s="2" t="s">
        <v>102</v>
      </c>
      <c r="E840" s="2">
        <v>11</v>
      </c>
      <c r="F840" s="2">
        <v>2024</v>
      </c>
      <c r="G840" s="8" t="s">
        <v>100</v>
      </c>
      <c r="H840" s="2">
        <v>1461</v>
      </c>
      <c r="I840" s="2">
        <v>1428</v>
      </c>
      <c r="J840" s="2">
        <v>33</v>
      </c>
      <c r="K840" s="2">
        <v>2.2999999999999998</v>
      </c>
      <c r="L840" s="2" t="s">
        <v>76</v>
      </c>
      <c r="M840">
        <f t="shared" si="75"/>
        <v>1330</v>
      </c>
      <c r="N840">
        <f t="shared" si="74"/>
        <v>1330.9196274727694</v>
      </c>
      <c r="O840">
        <f t="shared" si="71"/>
        <v>33</v>
      </c>
      <c r="P840" s="6">
        <f t="shared" si="72"/>
        <v>2.2587268993839837E-2</v>
      </c>
      <c r="Q840" s="6">
        <f t="shared" si="73"/>
        <v>8.9035162578528795E-2</v>
      </c>
    </row>
    <row r="841" spans="1:17" x14ac:dyDescent="0.25">
      <c r="A841" s="3">
        <v>840</v>
      </c>
      <c r="B841" s="3" t="s">
        <v>49</v>
      </c>
      <c r="C841" s="3" t="s">
        <v>50</v>
      </c>
      <c r="D841" s="3" t="s">
        <v>102</v>
      </c>
      <c r="E841" s="3">
        <v>12</v>
      </c>
      <c r="F841" s="3">
        <v>2024</v>
      </c>
      <c r="G841" s="9" t="s">
        <v>101</v>
      </c>
      <c r="H841" s="3">
        <v>1500</v>
      </c>
      <c r="I841" s="3">
        <v>1351</v>
      </c>
      <c r="J841" s="3">
        <v>149</v>
      </c>
      <c r="K841" s="3">
        <v>9.9</v>
      </c>
      <c r="L841" s="3" t="s">
        <v>76</v>
      </c>
      <c r="M841">
        <f t="shared" si="75"/>
        <v>1383.6666666666667</v>
      </c>
      <c r="N841">
        <f t="shared" si="74"/>
        <v>1369.9437392309385</v>
      </c>
      <c r="O841">
        <f t="shared" si="71"/>
        <v>149</v>
      </c>
      <c r="P841" s="6">
        <f t="shared" si="72"/>
        <v>9.9333333333333329E-2</v>
      </c>
      <c r="Q841" s="6">
        <f t="shared" si="73"/>
        <v>8.6704173846041011E-2</v>
      </c>
    </row>
    <row r="842" spans="1:17" x14ac:dyDescent="0.25">
      <c r="A842" s="2">
        <v>841</v>
      </c>
      <c r="B842" s="2" t="s">
        <v>49</v>
      </c>
      <c r="C842" s="2" t="s">
        <v>50</v>
      </c>
      <c r="D842" s="2" t="s">
        <v>103</v>
      </c>
      <c r="E842" s="2">
        <v>1</v>
      </c>
      <c r="F842" s="2">
        <v>2023</v>
      </c>
      <c r="G842" s="8" t="s">
        <v>75</v>
      </c>
      <c r="H842" s="2">
        <v>1195</v>
      </c>
      <c r="I842" s="2">
        <v>1257</v>
      </c>
      <c r="J842" s="2">
        <v>-62</v>
      </c>
      <c r="K842" s="2">
        <v>5.2</v>
      </c>
      <c r="L842" s="2" t="s">
        <v>78</v>
      </c>
      <c r="M842">
        <f t="shared" si="75"/>
        <v>1428.3333333333333</v>
      </c>
      <c r="N842">
        <f t="shared" si="74"/>
        <v>1408.960617461657</v>
      </c>
      <c r="O842">
        <f t="shared" si="71"/>
        <v>62</v>
      </c>
      <c r="P842" s="6">
        <f t="shared" si="72"/>
        <v>5.1882845188284517E-2</v>
      </c>
      <c r="Q842" s="6">
        <f t="shared" si="73"/>
        <v>0.17904654180891796</v>
      </c>
    </row>
    <row r="843" spans="1:17" x14ac:dyDescent="0.25">
      <c r="A843" s="3">
        <v>842</v>
      </c>
      <c r="B843" s="3" t="s">
        <v>49</v>
      </c>
      <c r="C843" s="3" t="s">
        <v>50</v>
      </c>
      <c r="D843" s="3" t="s">
        <v>103</v>
      </c>
      <c r="E843" s="3">
        <v>2</v>
      </c>
      <c r="F843" s="3">
        <v>2023</v>
      </c>
      <c r="G843" s="9" t="s">
        <v>77</v>
      </c>
      <c r="H843" s="3">
        <v>1065</v>
      </c>
      <c r="I843" s="3">
        <v>998</v>
      </c>
      <c r="J843" s="3">
        <v>67</v>
      </c>
      <c r="K843" s="3">
        <v>6.3</v>
      </c>
      <c r="L843" s="3" t="s">
        <v>76</v>
      </c>
      <c r="M843">
        <f t="shared" si="75"/>
        <v>1385.3333333333333</v>
      </c>
      <c r="N843">
        <f t="shared" si="74"/>
        <v>1344.7724322231597</v>
      </c>
      <c r="O843">
        <f t="shared" si="71"/>
        <v>67</v>
      </c>
      <c r="P843" s="6">
        <f t="shared" si="72"/>
        <v>6.2910798122065723E-2</v>
      </c>
      <c r="Q843" s="6">
        <f t="shared" si="73"/>
        <v>0.26269711945836594</v>
      </c>
    </row>
    <row r="844" spans="1:17" x14ac:dyDescent="0.25">
      <c r="A844" s="2">
        <v>843</v>
      </c>
      <c r="B844" s="2" t="s">
        <v>49</v>
      </c>
      <c r="C844" s="2" t="s">
        <v>50</v>
      </c>
      <c r="D844" s="2" t="s">
        <v>103</v>
      </c>
      <c r="E844" s="2">
        <v>3</v>
      </c>
      <c r="F844" s="2">
        <v>2023</v>
      </c>
      <c r="G844" s="8" t="s">
        <v>79</v>
      </c>
      <c r="H844" s="2">
        <v>1372</v>
      </c>
      <c r="I844" s="2">
        <v>1375</v>
      </c>
      <c r="J844" s="2">
        <v>-3</v>
      </c>
      <c r="K844" s="2">
        <v>0.2</v>
      </c>
      <c r="L844" s="2" t="s">
        <v>78</v>
      </c>
      <c r="M844">
        <f t="shared" si="75"/>
        <v>1253.3333333333333</v>
      </c>
      <c r="N844">
        <f t="shared" si="74"/>
        <v>1260.8407025562119</v>
      </c>
      <c r="O844">
        <f t="shared" si="71"/>
        <v>3</v>
      </c>
      <c r="P844" s="6">
        <f t="shared" si="72"/>
        <v>2.1865889212827989E-3</v>
      </c>
      <c r="Q844" s="6">
        <f t="shared" si="73"/>
        <v>8.1019896096055463E-2</v>
      </c>
    </row>
    <row r="845" spans="1:17" x14ac:dyDescent="0.25">
      <c r="A845" s="3">
        <v>844</v>
      </c>
      <c r="B845" s="3" t="s">
        <v>49</v>
      </c>
      <c r="C845" s="3" t="s">
        <v>50</v>
      </c>
      <c r="D845" s="3" t="s">
        <v>103</v>
      </c>
      <c r="E845" s="3">
        <v>4</v>
      </c>
      <c r="F845" s="3">
        <v>2023</v>
      </c>
      <c r="G845" s="9" t="s">
        <v>80</v>
      </c>
      <c r="H845" s="3">
        <v>1262</v>
      </c>
      <c r="I845" s="3">
        <v>1225</v>
      </c>
      <c r="J845" s="3">
        <v>37</v>
      </c>
      <c r="K845" s="3">
        <v>2.9</v>
      </c>
      <c r="L845" s="3" t="s">
        <v>78</v>
      </c>
      <c r="M845">
        <f t="shared" si="75"/>
        <v>1210.6666666666667</v>
      </c>
      <c r="N845">
        <f t="shared" si="74"/>
        <v>1294.1884917893483</v>
      </c>
      <c r="O845">
        <f t="shared" si="71"/>
        <v>37</v>
      </c>
      <c r="P845" s="6">
        <f t="shared" si="72"/>
        <v>2.9318541996830427E-2</v>
      </c>
      <c r="Q845" s="6">
        <f t="shared" si="73"/>
        <v>2.5505936441638899E-2</v>
      </c>
    </row>
    <row r="846" spans="1:17" x14ac:dyDescent="0.25">
      <c r="A846" s="2">
        <v>845</v>
      </c>
      <c r="B846" s="2" t="s">
        <v>49</v>
      </c>
      <c r="C846" s="2" t="s">
        <v>50</v>
      </c>
      <c r="D846" s="2" t="s">
        <v>103</v>
      </c>
      <c r="E846" s="2">
        <v>5</v>
      </c>
      <c r="F846" s="2">
        <v>2023</v>
      </c>
      <c r="G846" s="8" t="s">
        <v>81</v>
      </c>
      <c r="H846" s="2">
        <v>1531</v>
      </c>
      <c r="I846" s="2">
        <v>1618</v>
      </c>
      <c r="J846" s="2">
        <v>-87</v>
      </c>
      <c r="K846" s="2">
        <v>5.7</v>
      </c>
      <c r="L846" s="2" t="s">
        <v>76</v>
      </c>
      <c r="M846">
        <f t="shared" si="75"/>
        <v>1233</v>
      </c>
      <c r="N846">
        <f t="shared" si="74"/>
        <v>1284.5319442525438</v>
      </c>
      <c r="O846">
        <f t="shared" si="71"/>
        <v>87</v>
      </c>
      <c r="P846" s="6">
        <f t="shared" si="72"/>
        <v>5.6825604180274332E-2</v>
      </c>
      <c r="Q846" s="6">
        <f t="shared" si="73"/>
        <v>0.16098501355157166</v>
      </c>
    </row>
    <row r="847" spans="1:17" x14ac:dyDescent="0.25">
      <c r="A847" s="3">
        <v>846</v>
      </c>
      <c r="B847" s="3" t="s">
        <v>49</v>
      </c>
      <c r="C847" s="3" t="s">
        <v>50</v>
      </c>
      <c r="D847" s="3" t="s">
        <v>103</v>
      </c>
      <c r="E847" s="3">
        <v>6</v>
      </c>
      <c r="F847" s="3">
        <v>2023</v>
      </c>
      <c r="G847" s="9" t="s">
        <v>82</v>
      </c>
      <c r="H847" s="3">
        <v>1384</v>
      </c>
      <c r="I847" s="3">
        <v>1360</v>
      </c>
      <c r="J847" s="3">
        <v>24</v>
      </c>
      <c r="K847" s="3">
        <v>1.7</v>
      </c>
      <c r="L847" s="3" t="s">
        <v>78</v>
      </c>
      <c r="M847">
        <f t="shared" si="75"/>
        <v>1388.3333333333333</v>
      </c>
      <c r="N847">
        <f t="shared" si="74"/>
        <v>1358.4723609767807</v>
      </c>
      <c r="O847">
        <f t="shared" si="71"/>
        <v>24</v>
      </c>
      <c r="P847" s="6">
        <f t="shared" si="72"/>
        <v>1.7341040462427744E-2</v>
      </c>
      <c r="Q847" s="6">
        <f t="shared" si="73"/>
        <v>1.844482588382898E-2</v>
      </c>
    </row>
    <row r="848" spans="1:17" x14ac:dyDescent="0.25">
      <c r="A848" s="2">
        <v>847</v>
      </c>
      <c r="B848" s="2" t="s">
        <v>49</v>
      </c>
      <c r="C848" s="2" t="s">
        <v>50</v>
      </c>
      <c r="D848" s="2" t="s">
        <v>103</v>
      </c>
      <c r="E848" s="2">
        <v>7</v>
      </c>
      <c r="F848" s="2">
        <v>2023</v>
      </c>
      <c r="G848" s="8" t="s">
        <v>84</v>
      </c>
      <c r="H848" s="2">
        <v>1622</v>
      </c>
      <c r="I848" s="2">
        <v>1641</v>
      </c>
      <c r="J848" s="2">
        <v>-19</v>
      </c>
      <c r="K848" s="2">
        <v>1.2</v>
      </c>
      <c r="L848" s="2" t="s">
        <v>78</v>
      </c>
      <c r="M848">
        <f t="shared" si="75"/>
        <v>1392.3333333333333</v>
      </c>
      <c r="N848">
        <f t="shared" si="74"/>
        <v>1366.1306526837463</v>
      </c>
      <c r="O848">
        <f t="shared" si="71"/>
        <v>19</v>
      </c>
      <c r="P848" s="6">
        <f t="shared" si="72"/>
        <v>1.1713933415536375E-2</v>
      </c>
      <c r="Q848" s="6">
        <f t="shared" si="73"/>
        <v>0.15774928934417612</v>
      </c>
    </row>
    <row r="849" spans="1:17" x14ac:dyDescent="0.25">
      <c r="A849" s="3">
        <v>848</v>
      </c>
      <c r="B849" s="3" t="s">
        <v>49</v>
      </c>
      <c r="C849" s="3" t="s">
        <v>50</v>
      </c>
      <c r="D849" s="3" t="s">
        <v>103</v>
      </c>
      <c r="E849" s="3">
        <v>8</v>
      </c>
      <c r="F849" s="3">
        <v>2023</v>
      </c>
      <c r="G849" s="9" t="s">
        <v>85</v>
      </c>
      <c r="H849" s="3">
        <v>1522</v>
      </c>
      <c r="I849" s="3">
        <v>1421</v>
      </c>
      <c r="J849" s="3">
        <v>101</v>
      </c>
      <c r="K849" s="3">
        <v>6.6</v>
      </c>
      <c r="L849" s="3" t="s">
        <v>76</v>
      </c>
      <c r="M849">
        <f t="shared" si="75"/>
        <v>1512.3333333333333</v>
      </c>
      <c r="N849">
        <f t="shared" si="74"/>
        <v>1442.8914568786224</v>
      </c>
      <c r="O849">
        <f t="shared" si="71"/>
        <v>101</v>
      </c>
      <c r="P849" s="6">
        <f t="shared" si="72"/>
        <v>6.6360052562417865E-2</v>
      </c>
      <c r="Q849" s="6">
        <f t="shared" si="73"/>
        <v>5.197670375911799E-2</v>
      </c>
    </row>
    <row r="850" spans="1:17" x14ac:dyDescent="0.25">
      <c r="A850" s="2">
        <v>849</v>
      </c>
      <c r="B850" s="2" t="s">
        <v>49</v>
      </c>
      <c r="C850" s="2" t="s">
        <v>50</v>
      </c>
      <c r="D850" s="2" t="s">
        <v>103</v>
      </c>
      <c r="E850" s="2">
        <v>9</v>
      </c>
      <c r="F850" s="2">
        <v>2023</v>
      </c>
      <c r="G850" s="8" t="s">
        <v>86</v>
      </c>
      <c r="H850" s="2">
        <v>1311</v>
      </c>
      <c r="I850" s="2">
        <v>1250</v>
      </c>
      <c r="J850" s="2">
        <v>61</v>
      </c>
      <c r="K850" s="2">
        <v>4.7</v>
      </c>
      <c r="L850" s="2" t="s">
        <v>76</v>
      </c>
      <c r="M850">
        <f t="shared" si="75"/>
        <v>1509.3333333333333</v>
      </c>
      <c r="N850">
        <f t="shared" si="74"/>
        <v>1466.6240198150356</v>
      </c>
      <c r="O850">
        <f t="shared" si="71"/>
        <v>61</v>
      </c>
      <c r="P850" s="6">
        <f t="shared" si="72"/>
        <v>4.6529366895499621E-2</v>
      </c>
      <c r="Q850" s="6">
        <f t="shared" si="73"/>
        <v>0.11870634615944743</v>
      </c>
    </row>
    <row r="851" spans="1:17" x14ac:dyDescent="0.25">
      <c r="A851" s="3">
        <v>850</v>
      </c>
      <c r="B851" s="3" t="s">
        <v>49</v>
      </c>
      <c r="C851" s="3" t="s">
        <v>50</v>
      </c>
      <c r="D851" s="3" t="s">
        <v>103</v>
      </c>
      <c r="E851" s="3">
        <v>10</v>
      </c>
      <c r="F851" s="3">
        <v>2023</v>
      </c>
      <c r="G851" s="9" t="s">
        <v>87</v>
      </c>
      <c r="H851" s="3">
        <v>1564</v>
      </c>
      <c r="I851" s="3">
        <v>1427</v>
      </c>
      <c r="J851" s="3">
        <v>137</v>
      </c>
      <c r="K851" s="3">
        <v>8.8000000000000007</v>
      </c>
      <c r="L851" s="3" t="s">
        <v>76</v>
      </c>
      <c r="M851">
        <f t="shared" si="75"/>
        <v>1485</v>
      </c>
      <c r="N851">
        <f t="shared" si="74"/>
        <v>1419.9368138705247</v>
      </c>
      <c r="O851">
        <f t="shared" si="71"/>
        <v>137</v>
      </c>
      <c r="P851" s="6">
        <f t="shared" si="72"/>
        <v>8.7595907928388742E-2</v>
      </c>
      <c r="Q851" s="6">
        <f t="shared" si="73"/>
        <v>9.2112011591736126E-2</v>
      </c>
    </row>
    <row r="852" spans="1:17" x14ac:dyDescent="0.25">
      <c r="A852" s="2">
        <v>851</v>
      </c>
      <c r="B852" s="2" t="s">
        <v>49</v>
      </c>
      <c r="C852" s="2" t="s">
        <v>50</v>
      </c>
      <c r="D852" s="2" t="s">
        <v>103</v>
      </c>
      <c r="E852" s="2">
        <v>11</v>
      </c>
      <c r="F852" s="2">
        <v>2023</v>
      </c>
      <c r="G852" s="8" t="s">
        <v>88</v>
      </c>
      <c r="H852" s="2">
        <v>1685</v>
      </c>
      <c r="I852" s="2">
        <v>1617</v>
      </c>
      <c r="J852" s="2">
        <v>68</v>
      </c>
      <c r="K852" s="2">
        <v>4</v>
      </c>
      <c r="L852" s="2" t="s">
        <v>78</v>
      </c>
      <c r="M852">
        <f t="shared" si="75"/>
        <v>1465.6666666666667</v>
      </c>
      <c r="N852">
        <f t="shared" si="74"/>
        <v>1463.1557697093672</v>
      </c>
      <c r="O852">
        <f t="shared" si="71"/>
        <v>68</v>
      </c>
      <c r="P852" s="6">
        <f t="shared" si="72"/>
        <v>4.0356083086053415E-2</v>
      </c>
      <c r="Q852" s="6">
        <f t="shared" si="73"/>
        <v>0.13165829690838743</v>
      </c>
    </row>
    <row r="853" spans="1:17" x14ac:dyDescent="0.25">
      <c r="A853" s="3">
        <v>852</v>
      </c>
      <c r="B853" s="3" t="s">
        <v>49</v>
      </c>
      <c r="C853" s="3" t="s">
        <v>50</v>
      </c>
      <c r="D853" s="3" t="s">
        <v>103</v>
      </c>
      <c r="E853" s="3">
        <v>12</v>
      </c>
      <c r="F853" s="3">
        <v>2023</v>
      </c>
      <c r="G853" s="9" t="s">
        <v>89</v>
      </c>
      <c r="H853" s="3">
        <v>1790</v>
      </c>
      <c r="I853" s="3">
        <v>1949</v>
      </c>
      <c r="J853" s="3">
        <v>-159</v>
      </c>
      <c r="K853" s="3">
        <v>8.9</v>
      </c>
      <c r="L853" s="3" t="s">
        <v>83</v>
      </c>
      <c r="M853">
        <f t="shared" si="75"/>
        <v>1520</v>
      </c>
      <c r="N853">
        <f t="shared" si="74"/>
        <v>1529.709038796557</v>
      </c>
      <c r="O853">
        <f t="shared" si="71"/>
        <v>159</v>
      </c>
      <c r="P853" s="6">
        <f t="shared" si="72"/>
        <v>8.8826815642458104E-2</v>
      </c>
      <c r="Q853" s="6">
        <f t="shared" si="73"/>
        <v>0.14541394480639272</v>
      </c>
    </row>
    <row r="854" spans="1:17" x14ac:dyDescent="0.25">
      <c r="A854" s="2">
        <v>853</v>
      </c>
      <c r="B854" s="2" t="s">
        <v>49</v>
      </c>
      <c r="C854" s="2" t="s">
        <v>50</v>
      </c>
      <c r="D854" s="2" t="s">
        <v>103</v>
      </c>
      <c r="E854" s="2">
        <v>1</v>
      </c>
      <c r="F854" s="2">
        <v>2024</v>
      </c>
      <c r="G854" s="8" t="s">
        <v>90</v>
      </c>
      <c r="H854" s="2">
        <v>1247</v>
      </c>
      <c r="I854" s="2">
        <v>1270</v>
      </c>
      <c r="J854" s="2">
        <v>-23</v>
      </c>
      <c r="K854" s="2">
        <v>1.8</v>
      </c>
      <c r="L854" s="2" t="s">
        <v>78</v>
      </c>
      <c r="M854">
        <f t="shared" si="75"/>
        <v>1679.6666666666667</v>
      </c>
      <c r="N854">
        <f t="shared" si="74"/>
        <v>1607.7963271575898</v>
      </c>
      <c r="O854">
        <f t="shared" si="71"/>
        <v>23</v>
      </c>
      <c r="P854" s="6">
        <f t="shared" si="72"/>
        <v>1.8444266238973536E-2</v>
      </c>
      <c r="Q854" s="6">
        <f t="shared" si="73"/>
        <v>0.28933145722340797</v>
      </c>
    </row>
    <row r="855" spans="1:17" x14ac:dyDescent="0.25">
      <c r="A855" s="3">
        <v>854</v>
      </c>
      <c r="B855" s="3" t="s">
        <v>49</v>
      </c>
      <c r="C855" s="3" t="s">
        <v>50</v>
      </c>
      <c r="D855" s="3" t="s">
        <v>103</v>
      </c>
      <c r="E855" s="3">
        <v>2</v>
      </c>
      <c r="F855" s="3">
        <v>2024</v>
      </c>
      <c r="G855" s="9" t="s">
        <v>91</v>
      </c>
      <c r="H855" s="3">
        <v>1156</v>
      </c>
      <c r="I855" s="3">
        <v>1071</v>
      </c>
      <c r="J855" s="3">
        <v>85</v>
      </c>
      <c r="K855" s="3">
        <v>7.4</v>
      </c>
      <c r="L855" s="3" t="s">
        <v>78</v>
      </c>
      <c r="M855">
        <f t="shared" si="75"/>
        <v>1574</v>
      </c>
      <c r="N855">
        <f t="shared" si="74"/>
        <v>1499.5574290103127</v>
      </c>
      <c r="O855">
        <f t="shared" si="71"/>
        <v>85</v>
      </c>
      <c r="P855" s="6">
        <f t="shared" si="72"/>
        <v>7.3529411764705885E-2</v>
      </c>
      <c r="Q855" s="6">
        <f t="shared" si="73"/>
        <v>0.29719500779438818</v>
      </c>
    </row>
    <row r="856" spans="1:17" x14ac:dyDescent="0.25">
      <c r="A856" s="2">
        <v>855</v>
      </c>
      <c r="B856" s="2" t="s">
        <v>49</v>
      </c>
      <c r="C856" s="2" t="s">
        <v>50</v>
      </c>
      <c r="D856" s="2" t="s">
        <v>103</v>
      </c>
      <c r="E856" s="2">
        <v>3</v>
      </c>
      <c r="F856" s="2">
        <v>2024</v>
      </c>
      <c r="G856" s="8" t="s">
        <v>92</v>
      </c>
      <c r="H856" s="2">
        <v>1499</v>
      </c>
      <c r="I856" s="2">
        <v>1448</v>
      </c>
      <c r="J856" s="2">
        <v>51</v>
      </c>
      <c r="K856" s="2">
        <v>3.4</v>
      </c>
      <c r="L856" s="2" t="s">
        <v>83</v>
      </c>
      <c r="M856">
        <f t="shared" si="75"/>
        <v>1397.6666666666667</v>
      </c>
      <c r="N856">
        <f t="shared" si="74"/>
        <v>1396.4902003072189</v>
      </c>
      <c r="O856">
        <f t="shared" si="71"/>
        <v>51</v>
      </c>
      <c r="P856" s="6">
        <f t="shared" si="72"/>
        <v>3.4022681787858569E-2</v>
      </c>
      <c r="Q856" s="6">
        <f t="shared" si="73"/>
        <v>6.838545676636501E-2</v>
      </c>
    </row>
    <row r="857" spans="1:17" x14ac:dyDescent="0.25">
      <c r="A857" s="3">
        <v>856</v>
      </c>
      <c r="B857" s="3" t="s">
        <v>49</v>
      </c>
      <c r="C857" s="3" t="s">
        <v>50</v>
      </c>
      <c r="D857" s="3" t="s">
        <v>103</v>
      </c>
      <c r="E857" s="3">
        <v>4</v>
      </c>
      <c r="F857" s="3">
        <v>2024</v>
      </c>
      <c r="G857" s="9" t="s">
        <v>93</v>
      </c>
      <c r="H857" s="3">
        <v>1383</v>
      </c>
      <c r="I857" s="3">
        <v>1483</v>
      </c>
      <c r="J857" s="3">
        <v>-100</v>
      </c>
      <c r="K857" s="3">
        <v>7.2</v>
      </c>
      <c r="L857" s="3" t="s">
        <v>76</v>
      </c>
      <c r="M857">
        <f t="shared" si="75"/>
        <v>1300.6666666666667</v>
      </c>
      <c r="N857">
        <f t="shared" si="74"/>
        <v>1427.243140215053</v>
      </c>
      <c r="O857">
        <f t="shared" si="71"/>
        <v>100</v>
      </c>
      <c r="P857" s="6">
        <f t="shared" si="72"/>
        <v>7.230657989877079E-2</v>
      </c>
      <c r="Q857" s="6">
        <f t="shared" si="73"/>
        <v>3.1990701529322499E-2</v>
      </c>
    </row>
    <row r="858" spans="1:17" x14ac:dyDescent="0.25">
      <c r="A858" s="2">
        <v>857</v>
      </c>
      <c r="B858" s="2" t="s">
        <v>49</v>
      </c>
      <c r="C858" s="2" t="s">
        <v>50</v>
      </c>
      <c r="D858" s="2" t="s">
        <v>103</v>
      </c>
      <c r="E858" s="2">
        <v>5</v>
      </c>
      <c r="F858" s="2">
        <v>2024</v>
      </c>
      <c r="G858" s="8" t="s">
        <v>94</v>
      </c>
      <c r="H858" s="2">
        <v>1436</v>
      </c>
      <c r="I858" s="2">
        <v>1526</v>
      </c>
      <c r="J858" s="2">
        <v>-90</v>
      </c>
      <c r="K858" s="2">
        <v>6.3</v>
      </c>
      <c r="L858" s="2" t="s">
        <v>83</v>
      </c>
      <c r="M858">
        <f t="shared" si="75"/>
        <v>1346</v>
      </c>
      <c r="N858">
        <f t="shared" si="74"/>
        <v>1413.970198150537</v>
      </c>
      <c r="O858">
        <f t="shared" si="71"/>
        <v>90</v>
      </c>
      <c r="P858" s="6">
        <f t="shared" si="72"/>
        <v>6.2674094707520889E-2</v>
      </c>
      <c r="Q858" s="6">
        <f t="shared" si="73"/>
        <v>1.534108763890178E-2</v>
      </c>
    </row>
    <row r="859" spans="1:17" x14ac:dyDescent="0.25">
      <c r="A859" s="3">
        <v>858</v>
      </c>
      <c r="B859" s="3" t="s">
        <v>49</v>
      </c>
      <c r="C859" s="3" t="s">
        <v>50</v>
      </c>
      <c r="D859" s="3" t="s">
        <v>103</v>
      </c>
      <c r="E859" s="3">
        <v>6</v>
      </c>
      <c r="F859" s="3">
        <v>2024</v>
      </c>
      <c r="G859" s="9" t="s">
        <v>95</v>
      </c>
      <c r="H859" s="3">
        <v>1745</v>
      </c>
      <c r="I859" s="3">
        <v>1618</v>
      </c>
      <c r="J859" s="3">
        <v>127</v>
      </c>
      <c r="K859" s="3">
        <v>7.3</v>
      </c>
      <c r="L859" s="3" t="s">
        <v>76</v>
      </c>
      <c r="M859">
        <f t="shared" si="75"/>
        <v>1439.3333333333333</v>
      </c>
      <c r="N859">
        <f t="shared" si="74"/>
        <v>1420.579138705376</v>
      </c>
      <c r="O859">
        <f t="shared" si="71"/>
        <v>127</v>
      </c>
      <c r="P859" s="6">
        <f t="shared" si="72"/>
        <v>7.2779369627507168E-2</v>
      </c>
      <c r="Q859" s="6">
        <f t="shared" si="73"/>
        <v>0.1859145336931943</v>
      </c>
    </row>
    <row r="860" spans="1:17" x14ac:dyDescent="0.25">
      <c r="A860" s="2">
        <v>859</v>
      </c>
      <c r="B860" s="2" t="s">
        <v>49</v>
      </c>
      <c r="C860" s="2" t="s">
        <v>50</v>
      </c>
      <c r="D860" s="2" t="s">
        <v>103</v>
      </c>
      <c r="E860" s="2">
        <v>7</v>
      </c>
      <c r="F860" s="2">
        <v>2024</v>
      </c>
      <c r="G860" s="8" t="s">
        <v>96</v>
      </c>
      <c r="H860" s="2">
        <v>1577</v>
      </c>
      <c r="I860" s="2">
        <v>1638</v>
      </c>
      <c r="J860" s="2">
        <v>-61</v>
      </c>
      <c r="K860" s="2">
        <v>3.9</v>
      </c>
      <c r="L860" s="2" t="s">
        <v>76</v>
      </c>
      <c r="M860">
        <f t="shared" si="75"/>
        <v>1521.3333333333333</v>
      </c>
      <c r="N860">
        <f t="shared" si="74"/>
        <v>1517.905397093763</v>
      </c>
      <c r="O860">
        <f t="shared" si="71"/>
        <v>61</v>
      </c>
      <c r="P860" s="6">
        <f t="shared" si="72"/>
        <v>3.8681039949270767E-2</v>
      </c>
      <c r="Q860" s="6">
        <f t="shared" si="73"/>
        <v>3.7472798291843384E-2</v>
      </c>
    </row>
    <row r="861" spans="1:17" x14ac:dyDescent="0.25">
      <c r="A861" s="3">
        <v>860</v>
      </c>
      <c r="B861" s="3" t="s">
        <v>49</v>
      </c>
      <c r="C861" s="3" t="s">
        <v>50</v>
      </c>
      <c r="D861" s="3" t="s">
        <v>103</v>
      </c>
      <c r="E861" s="3">
        <v>8</v>
      </c>
      <c r="F861" s="3">
        <v>2024</v>
      </c>
      <c r="G861" s="9" t="s">
        <v>97</v>
      </c>
      <c r="H861" s="3">
        <v>1429</v>
      </c>
      <c r="I861" s="3">
        <v>1561</v>
      </c>
      <c r="J861" s="3">
        <v>-132</v>
      </c>
      <c r="K861" s="3">
        <v>9.1999999999999993</v>
      </c>
      <c r="L861" s="3" t="s">
        <v>76</v>
      </c>
      <c r="M861">
        <f t="shared" si="75"/>
        <v>1586</v>
      </c>
      <c r="N861">
        <f t="shared" si="74"/>
        <v>1535.633777965634</v>
      </c>
      <c r="O861">
        <f t="shared" si="71"/>
        <v>132</v>
      </c>
      <c r="P861" s="6">
        <f t="shared" si="72"/>
        <v>9.2372288313505954E-2</v>
      </c>
      <c r="Q861" s="6">
        <f t="shared" si="73"/>
        <v>7.4621258198484225E-2</v>
      </c>
    </row>
    <row r="862" spans="1:17" x14ac:dyDescent="0.25">
      <c r="A862" s="2">
        <v>861</v>
      </c>
      <c r="B862" s="2" t="s">
        <v>49</v>
      </c>
      <c r="C862" s="2" t="s">
        <v>50</v>
      </c>
      <c r="D862" s="2" t="s">
        <v>103</v>
      </c>
      <c r="E862" s="2">
        <v>9</v>
      </c>
      <c r="F862" s="2">
        <v>2024</v>
      </c>
      <c r="G862" s="8" t="s">
        <v>98</v>
      </c>
      <c r="H862" s="2">
        <v>1353</v>
      </c>
      <c r="I862" s="2">
        <v>1405</v>
      </c>
      <c r="J862" s="2">
        <v>-52</v>
      </c>
      <c r="K862" s="2">
        <v>3.8</v>
      </c>
      <c r="L862" s="2" t="s">
        <v>76</v>
      </c>
      <c r="M862">
        <f t="shared" si="75"/>
        <v>1583.6666666666667</v>
      </c>
      <c r="N862">
        <f t="shared" si="74"/>
        <v>1503.6436445759437</v>
      </c>
      <c r="O862">
        <f t="shared" si="71"/>
        <v>52</v>
      </c>
      <c r="P862" s="6">
        <f t="shared" si="72"/>
        <v>3.8433111603843315E-2</v>
      </c>
      <c r="Q862" s="6">
        <f t="shared" si="73"/>
        <v>0.11134046162301822</v>
      </c>
    </row>
    <row r="863" spans="1:17" x14ac:dyDescent="0.25">
      <c r="A863" s="3">
        <v>862</v>
      </c>
      <c r="B863" s="3" t="s">
        <v>49</v>
      </c>
      <c r="C863" s="3" t="s">
        <v>50</v>
      </c>
      <c r="D863" s="3" t="s">
        <v>103</v>
      </c>
      <c r="E863" s="3">
        <v>10</v>
      </c>
      <c r="F863" s="3">
        <v>2024</v>
      </c>
      <c r="G863" s="9" t="s">
        <v>99</v>
      </c>
      <c r="H863" s="3">
        <v>1743</v>
      </c>
      <c r="I863" s="3">
        <v>1841</v>
      </c>
      <c r="J863" s="3">
        <v>-98</v>
      </c>
      <c r="K863" s="3">
        <v>5.6</v>
      </c>
      <c r="L863" s="3" t="s">
        <v>76</v>
      </c>
      <c r="M863">
        <f t="shared" si="75"/>
        <v>1453</v>
      </c>
      <c r="N863">
        <f t="shared" si="74"/>
        <v>1458.4505512031606</v>
      </c>
      <c r="O863">
        <f t="shared" si="71"/>
        <v>98</v>
      </c>
      <c r="P863" s="6">
        <f t="shared" si="72"/>
        <v>5.6224899598393573E-2</v>
      </c>
      <c r="Q863" s="6">
        <f t="shared" si="73"/>
        <v>0.16325269581000543</v>
      </c>
    </row>
    <row r="864" spans="1:17" x14ac:dyDescent="0.25">
      <c r="A864" s="2">
        <v>863</v>
      </c>
      <c r="B864" s="2" t="s">
        <v>49</v>
      </c>
      <c r="C864" s="2" t="s">
        <v>50</v>
      </c>
      <c r="D864" s="2" t="s">
        <v>103</v>
      </c>
      <c r="E864" s="2">
        <v>11</v>
      </c>
      <c r="F864" s="2">
        <v>2024</v>
      </c>
      <c r="G864" s="8" t="s">
        <v>100</v>
      </c>
      <c r="H864" s="2">
        <v>1728</v>
      </c>
      <c r="I864" s="2">
        <v>1837</v>
      </c>
      <c r="J864" s="2">
        <v>-109</v>
      </c>
      <c r="K864" s="2">
        <v>6.3</v>
      </c>
      <c r="L864" s="2" t="s">
        <v>76</v>
      </c>
      <c r="M864">
        <f t="shared" si="75"/>
        <v>1508.3333333333333</v>
      </c>
      <c r="N864">
        <f t="shared" si="74"/>
        <v>1543.8153858422124</v>
      </c>
      <c r="O864">
        <f t="shared" si="71"/>
        <v>109</v>
      </c>
      <c r="P864" s="6">
        <f t="shared" si="72"/>
        <v>6.3078703703703706E-2</v>
      </c>
      <c r="Q864" s="6">
        <f t="shared" si="73"/>
        <v>0.10658831837834928</v>
      </c>
    </row>
    <row r="865" spans="1:17" x14ac:dyDescent="0.25">
      <c r="A865" s="3">
        <v>864</v>
      </c>
      <c r="B865" s="3" t="s">
        <v>49</v>
      </c>
      <c r="C865" s="3" t="s">
        <v>50</v>
      </c>
      <c r="D865" s="3" t="s">
        <v>103</v>
      </c>
      <c r="E865" s="3">
        <v>12</v>
      </c>
      <c r="F865" s="3">
        <v>2024</v>
      </c>
      <c r="G865" s="9" t="s">
        <v>101</v>
      </c>
      <c r="H865" s="3">
        <v>1792</v>
      </c>
      <c r="I865" s="3">
        <v>1946</v>
      </c>
      <c r="J865" s="3">
        <v>-154</v>
      </c>
      <c r="K865" s="3">
        <v>8.6</v>
      </c>
      <c r="L865" s="3" t="s">
        <v>78</v>
      </c>
      <c r="M865">
        <f t="shared" si="75"/>
        <v>1608</v>
      </c>
      <c r="N865">
        <f t="shared" si="74"/>
        <v>1599.0707700895487</v>
      </c>
      <c r="O865">
        <f t="shared" si="71"/>
        <v>154</v>
      </c>
      <c r="P865" s="6">
        <f t="shared" si="72"/>
        <v>8.59375E-2</v>
      </c>
      <c r="Q865" s="6">
        <f t="shared" si="73"/>
        <v>0.10766140061967151</v>
      </c>
    </row>
    <row r="866" spans="1:17" x14ac:dyDescent="0.25">
      <c r="A866" s="2">
        <v>865</v>
      </c>
      <c r="B866" s="2" t="s">
        <v>53</v>
      </c>
      <c r="C866" s="2" t="s">
        <v>54</v>
      </c>
      <c r="D866" s="2" t="s">
        <v>74</v>
      </c>
      <c r="E866" s="2">
        <v>1</v>
      </c>
      <c r="F866" s="2">
        <v>2023</v>
      </c>
      <c r="G866" s="8" t="s">
        <v>75</v>
      </c>
      <c r="H866" s="2">
        <v>3649</v>
      </c>
      <c r="I866" s="2">
        <v>3682</v>
      </c>
      <c r="J866" s="2">
        <v>-33</v>
      </c>
      <c r="K866" s="2">
        <v>0.9</v>
      </c>
      <c r="L866" s="2" t="s">
        <v>83</v>
      </c>
      <c r="M866">
        <f t="shared" si="75"/>
        <v>1754.3333333333333</v>
      </c>
      <c r="N866">
        <f t="shared" si="74"/>
        <v>1656.9495390626839</v>
      </c>
      <c r="O866">
        <f t="shared" si="71"/>
        <v>33</v>
      </c>
      <c r="P866" s="6">
        <f t="shared" si="72"/>
        <v>9.0435735818032333E-3</v>
      </c>
      <c r="Q866" s="6">
        <f t="shared" si="73"/>
        <v>0.54591681582277773</v>
      </c>
    </row>
    <row r="867" spans="1:17" x14ac:dyDescent="0.25">
      <c r="A867" s="3">
        <v>866</v>
      </c>
      <c r="B867" s="3" t="s">
        <v>53</v>
      </c>
      <c r="C867" s="3" t="s">
        <v>54</v>
      </c>
      <c r="D867" s="3" t="s">
        <v>74</v>
      </c>
      <c r="E867" s="3">
        <v>2</v>
      </c>
      <c r="F867" s="3">
        <v>2023</v>
      </c>
      <c r="G867" s="9" t="s">
        <v>77</v>
      </c>
      <c r="H867" s="3">
        <v>3665</v>
      </c>
      <c r="I867" s="3">
        <v>3318</v>
      </c>
      <c r="J867" s="3">
        <v>347</v>
      </c>
      <c r="K867" s="3">
        <v>9.5</v>
      </c>
      <c r="L867" s="3" t="s">
        <v>83</v>
      </c>
      <c r="M867">
        <f t="shared" si="75"/>
        <v>2389.6666666666665</v>
      </c>
      <c r="N867">
        <f t="shared" si="74"/>
        <v>2254.5646773438784</v>
      </c>
      <c r="O867">
        <f t="shared" si="71"/>
        <v>347</v>
      </c>
      <c r="P867" s="6">
        <f t="shared" si="72"/>
        <v>9.46793997271487E-2</v>
      </c>
      <c r="Q867" s="6">
        <f t="shared" si="73"/>
        <v>0.38483910577247521</v>
      </c>
    </row>
    <row r="868" spans="1:17" x14ac:dyDescent="0.25">
      <c r="A868" s="2">
        <v>867</v>
      </c>
      <c r="B868" s="2" t="s">
        <v>53</v>
      </c>
      <c r="C868" s="2" t="s">
        <v>54</v>
      </c>
      <c r="D868" s="2" t="s">
        <v>74</v>
      </c>
      <c r="E868" s="2">
        <v>3</v>
      </c>
      <c r="F868" s="2">
        <v>2023</v>
      </c>
      <c r="G868" s="8" t="s">
        <v>79</v>
      </c>
      <c r="H868" s="2">
        <v>3953</v>
      </c>
      <c r="I868" s="2">
        <v>4117</v>
      </c>
      <c r="J868" s="2">
        <v>-164</v>
      </c>
      <c r="K868" s="2">
        <v>4.0999999999999996</v>
      </c>
      <c r="L868" s="2" t="s">
        <v>76</v>
      </c>
      <c r="M868">
        <f t="shared" si="75"/>
        <v>3035.3333333333335</v>
      </c>
      <c r="N868">
        <f t="shared" si="74"/>
        <v>2677.6952741407149</v>
      </c>
      <c r="O868">
        <f t="shared" si="71"/>
        <v>164</v>
      </c>
      <c r="P868" s="6">
        <f t="shared" si="72"/>
        <v>4.1487477864912727E-2</v>
      </c>
      <c r="Q868" s="6">
        <f t="shared" si="73"/>
        <v>0.32261693039698586</v>
      </c>
    </row>
    <row r="869" spans="1:17" x14ac:dyDescent="0.25">
      <c r="A869" s="3">
        <v>868</v>
      </c>
      <c r="B869" s="3" t="s">
        <v>53</v>
      </c>
      <c r="C869" s="3" t="s">
        <v>54</v>
      </c>
      <c r="D869" s="3" t="s">
        <v>74</v>
      </c>
      <c r="E869" s="3">
        <v>4</v>
      </c>
      <c r="F869" s="3">
        <v>2023</v>
      </c>
      <c r="G869" s="9" t="s">
        <v>80</v>
      </c>
      <c r="H869" s="3">
        <v>4500</v>
      </c>
      <c r="I869" s="3">
        <v>4798</v>
      </c>
      <c r="J869" s="3">
        <v>-298</v>
      </c>
      <c r="K869" s="3">
        <v>6.6</v>
      </c>
      <c r="L869" s="3" t="s">
        <v>78</v>
      </c>
      <c r="M869">
        <f t="shared" si="75"/>
        <v>3755.6666666666665</v>
      </c>
      <c r="N869">
        <f t="shared" si="74"/>
        <v>3060.2866918985001</v>
      </c>
      <c r="O869">
        <f t="shared" si="71"/>
        <v>298</v>
      </c>
      <c r="P869" s="6">
        <f t="shared" si="72"/>
        <v>6.6222222222222224E-2</v>
      </c>
      <c r="Q869" s="6">
        <f t="shared" si="73"/>
        <v>0.31993629068922219</v>
      </c>
    </row>
    <row r="870" spans="1:17" x14ac:dyDescent="0.25">
      <c r="A870" s="2">
        <v>869</v>
      </c>
      <c r="B870" s="2" t="s">
        <v>53</v>
      </c>
      <c r="C870" s="2" t="s">
        <v>54</v>
      </c>
      <c r="D870" s="2" t="s">
        <v>74</v>
      </c>
      <c r="E870" s="2">
        <v>5</v>
      </c>
      <c r="F870" s="2">
        <v>2023</v>
      </c>
      <c r="G870" s="8" t="s">
        <v>81</v>
      </c>
      <c r="H870" s="2">
        <v>4747</v>
      </c>
      <c r="I870" s="2">
        <v>5027</v>
      </c>
      <c r="J870" s="2">
        <v>-280</v>
      </c>
      <c r="K870" s="2">
        <v>5.9</v>
      </c>
      <c r="L870" s="2" t="s">
        <v>76</v>
      </c>
      <c r="M870">
        <f t="shared" si="75"/>
        <v>4039.3333333333335</v>
      </c>
      <c r="N870">
        <f t="shared" si="74"/>
        <v>3492.20068432895</v>
      </c>
      <c r="O870">
        <f t="shared" si="71"/>
        <v>280</v>
      </c>
      <c r="P870" s="6">
        <f t="shared" si="72"/>
        <v>5.8984621866441961E-2</v>
      </c>
      <c r="Q870" s="6">
        <f t="shared" si="73"/>
        <v>0.26433522554688221</v>
      </c>
    </row>
    <row r="871" spans="1:17" x14ac:dyDescent="0.25">
      <c r="A871" s="3">
        <v>870</v>
      </c>
      <c r="B871" s="3" t="s">
        <v>53</v>
      </c>
      <c r="C871" s="3" t="s">
        <v>54</v>
      </c>
      <c r="D871" s="3" t="s">
        <v>74</v>
      </c>
      <c r="E871" s="3">
        <v>6</v>
      </c>
      <c r="F871" s="3">
        <v>2023</v>
      </c>
      <c r="G871" s="9" t="s">
        <v>82</v>
      </c>
      <c r="H871" s="3">
        <v>4811</v>
      </c>
      <c r="I871" s="3">
        <v>4463</v>
      </c>
      <c r="J871" s="3">
        <v>348</v>
      </c>
      <c r="K871" s="3">
        <v>7.2</v>
      </c>
      <c r="L871" s="3" t="s">
        <v>76</v>
      </c>
      <c r="M871">
        <f t="shared" si="75"/>
        <v>4400</v>
      </c>
      <c r="N871">
        <f t="shared" si="74"/>
        <v>3868.6404790302649</v>
      </c>
      <c r="O871">
        <f t="shared" si="71"/>
        <v>348</v>
      </c>
      <c r="P871" s="6">
        <f t="shared" si="72"/>
        <v>7.2334234046975684E-2</v>
      </c>
      <c r="Q871" s="6">
        <f t="shared" si="73"/>
        <v>0.19587601766155374</v>
      </c>
    </row>
    <row r="872" spans="1:17" x14ac:dyDescent="0.25">
      <c r="A872" s="2">
        <v>871</v>
      </c>
      <c r="B872" s="2" t="s">
        <v>53</v>
      </c>
      <c r="C872" s="2" t="s">
        <v>54</v>
      </c>
      <c r="D872" s="2" t="s">
        <v>74</v>
      </c>
      <c r="E872" s="2">
        <v>7</v>
      </c>
      <c r="F872" s="2">
        <v>2023</v>
      </c>
      <c r="G872" s="8" t="s">
        <v>84</v>
      </c>
      <c r="H872" s="2">
        <v>4255</v>
      </c>
      <c r="I872" s="2">
        <v>4390</v>
      </c>
      <c r="J872" s="2">
        <v>-135</v>
      </c>
      <c r="K872" s="2">
        <v>3.2</v>
      </c>
      <c r="L872" s="2" t="s">
        <v>83</v>
      </c>
      <c r="M872">
        <f t="shared" si="75"/>
        <v>4686</v>
      </c>
      <c r="N872">
        <f t="shared" si="74"/>
        <v>4151.348335321185</v>
      </c>
      <c r="O872">
        <f t="shared" si="71"/>
        <v>135</v>
      </c>
      <c r="P872" s="6">
        <f t="shared" si="72"/>
        <v>3.1727379553466509E-2</v>
      </c>
      <c r="Q872" s="6">
        <f t="shared" si="73"/>
        <v>2.435996819713631E-2</v>
      </c>
    </row>
    <row r="873" spans="1:17" x14ac:dyDescent="0.25">
      <c r="A873" s="3">
        <v>872</v>
      </c>
      <c r="B873" s="3" t="s">
        <v>53</v>
      </c>
      <c r="C873" s="3" t="s">
        <v>54</v>
      </c>
      <c r="D873" s="3" t="s">
        <v>74</v>
      </c>
      <c r="E873" s="3">
        <v>8</v>
      </c>
      <c r="F873" s="3">
        <v>2023</v>
      </c>
      <c r="G873" s="9" t="s">
        <v>85</v>
      </c>
      <c r="H873" s="3">
        <v>4328</v>
      </c>
      <c r="I873" s="3">
        <v>4221</v>
      </c>
      <c r="J873" s="3">
        <v>107</v>
      </c>
      <c r="K873" s="3">
        <v>2.5</v>
      </c>
      <c r="L873" s="3" t="s">
        <v>76</v>
      </c>
      <c r="M873">
        <f t="shared" si="75"/>
        <v>4604.333333333333</v>
      </c>
      <c r="N873">
        <f t="shared" si="74"/>
        <v>4182.4438347248288</v>
      </c>
      <c r="O873">
        <f t="shared" si="71"/>
        <v>107</v>
      </c>
      <c r="P873" s="6">
        <f t="shared" si="72"/>
        <v>2.4722735674676526E-2</v>
      </c>
      <c r="Q873" s="6">
        <f t="shared" si="73"/>
        <v>3.3631276634743815E-2</v>
      </c>
    </row>
    <row r="874" spans="1:17" x14ac:dyDescent="0.25">
      <c r="A874" s="2">
        <v>873</v>
      </c>
      <c r="B874" s="2" t="s">
        <v>53</v>
      </c>
      <c r="C874" s="2" t="s">
        <v>54</v>
      </c>
      <c r="D874" s="2" t="s">
        <v>74</v>
      </c>
      <c r="E874" s="2">
        <v>9</v>
      </c>
      <c r="F874" s="2">
        <v>2023</v>
      </c>
      <c r="G874" s="8" t="s">
        <v>86</v>
      </c>
      <c r="H874" s="2">
        <v>4694</v>
      </c>
      <c r="I874" s="2">
        <v>4674</v>
      </c>
      <c r="J874" s="2">
        <v>20</v>
      </c>
      <c r="K874" s="2">
        <v>0.4</v>
      </c>
      <c r="L874" s="2" t="s">
        <v>76</v>
      </c>
      <c r="M874">
        <f t="shared" si="75"/>
        <v>4464.666666666667</v>
      </c>
      <c r="N874">
        <f t="shared" si="74"/>
        <v>4226.1106843073794</v>
      </c>
      <c r="O874">
        <f t="shared" si="71"/>
        <v>20</v>
      </c>
      <c r="P874" s="6">
        <f t="shared" si="72"/>
        <v>4.2607584149978693E-3</v>
      </c>
      <c r="Q874" s="6">
        <f t="shared" si="73"/>
        <v>9.96781669562464E-2</v>
      </c>
    </row>
    <row r="875" spans="1:17" x14ac:dyDescent="0.25">
      <c r="A875" s="3">
        <v>874</v>
      </c>
      <c r="B875" s="3" t="s">
        <v>53</v>
      </c>
      <c r="C875" s="3" t="s">
        <v>54</v>
      </c>
      <c r="D875" s="3" t="s">
        <v>74</v>
      </c>
      <c r="E875" s="3">
        <v>10</v>
      </c>
      <c r="F875" s="3">
        <v>2023</v>
      </c>
      <c r="G875" s="9" t="s">
        <v>87</v>
      </c>
      <c r="H875" s="3">
        <v>4658</v>
      </c>
      <c r="I875" s="3">
        <v>5052</v>
      </c>
      <c r="J875" s="3">
        <v>-394</v>
      </c>
      <c r="K875" s="3">
        <v>8.5</v>
      </c>
      <c r="L875" s="3" t="s">
        <v>83</v>
      </c>
      <c r="M875">
        <f t="shared" si="75"/>
        <v>4425.666666666667</v>
      </c>
      <c r="N875">
        <f t="shared" si="74"/>
        <v>4366.477479015165</v>
      </c>
      <c r="O875">
        <f t="shared" si="71"/>
        <v>394</v>
      </c>
      <c r="P875" s="6">
        <f t="shared" si="72"/>
        <v>8.4585659081150705E-2</v>
      </c>
      <c r="Q875" s="6">
        <f t="shared" si="73"/>
        <v>6.2585341559646832E-2</v>
      </c>
    </row>
    <row r="876" spans="1:17" x14ac:dyDescent="0.25">
      <c r="A876" s="2">
        <v>875</v>
      </c>
      <c r="B876" s="2" t="s">
        <v>53</v>
      </c>
      <c r="C876" s="2" t="s">
        <v>54</v>
      </c>
      <c r="D876" s="2" t="s">
        <v>74</v>
      </c>
      <c r="E876" s="2">
        <v>11</v>
      </c>
      <c r="F876" s="2">
        <v>2023</v>
      </c>
      <c r="G876" s="8" t="s">
        <v>88</v>
      </c>
      <c r="H876" s="2">
        <v>5147</v>
      </c>
      <c r="I876" s="2">
        <v>4670</v>
      </c>
      <c r="J876" s="2">
        <v>477</v>
      </c>
      <c r="K876" s="2">
        <v>9.3000000000000007</v>
      </c>
      <c r="L876" s="2" t="s">
        <v>76</v>
      </c>
      <c r="M876">
        <f t="shared" si="75"/>
        <v>4560</v>
      </c>
      <c r="N876">
        <f t="shared" si="74"/>
        <v>4453.9342353106149</v>
      </c>
      <c r="O876">
        <f t="shared" si="71"/>
        <v>477</v>
      </c>
      <c r="P876" s="6">
        <f t="shared" si="72"/>
        <v>9.2675344861084127E-2</v>
      </c>
      <c r="Q876" s="6">
        <f t="shared" si="73"/>
        <v>0.13465431604612108</v>
      </c>
    </row>
    <row r="877" spans="1:17" x14ac:dyDescent="0.25">
      <c r="A877" s="3">
        <v>876</v>
      </c>
      <c r="B877" s="3" t="s">
        <v>53</v>
      </c>
      <c r="C877" s="3" t="s">
        <v>54</v>
      </c>
      <c r="D877" s="3" t="s">
        <v>74</v>
      </c>
      <c r="E877" s="3">
        <v>12</v>
      </c>
      <c r="F877" s="3">
        <v>2023</v>
      </c>
      <c r="G877" s="9" t="s">
        <v>89</v>
      </c>
      <c r="H877" s="3">
        <v>5724</v>
      </c>
      <c r="I877" s="3">
        <v>6081</v>
      </c>
      <c r="J877" s="3">
        <v>-357</v>
      </c>
      <c r="K877" s="3">
        <v>6.2</v>
      </c>
      <c r="L877" s="3" t="s">
        <v>83</v>
      </c>
      <c r="M877">
        <f t="shared" si="75"/>
        <v>4833</v>
      </c>
      <c r="N877">
        <f t="shared" si="74"/>
        <v>4661.8539647174302</v>
      </c>
      <c r="O877">
        <f t="shared" si="71"/>
        <v>357</v>
      </c>
      <c r="P877" s="6">
        <f t="shared" si="72"/>
        <v>6.2368972746331235E-2</v>
      </c>
      <c r="Q877" s="6">
        <f t="shared" si="73"/>
        <v>0.18556010399765369</v>
      </c>
    </row>
    <row r="878" spans="1:17" x14ac:dyDescent="0.25">
      <c r="A878" s="2">
        <v>877</v>
      </c>
      <c r="B878" s="2" t="s">
        <v>53</v>
      </c>
      <c r="C878" s="2" t="s">
        <v>54</v>
      </c>
      <c r="D878" s="2" t="s">
        <v>74</v>
      </c>
      <c r="E878" s="2">
        <v>1</v>
      </c>
      <c r="F878" s="2">
        <v>2024</v>
      </c>
      <c r="G878" s="8" t="s">
        <v>90</v>
      </c>
      <c r="H878" s="2">
        <v>3688</v>
      </c>
      <c r="I878" s="2">
        <v>3381</v>
      </c>
      <c r="J878" s="2">
        <v>307</v>
      </c>
      <c r="K878" s="2">
        <v>8.3000000000000007</v>
      </c>
      <c r="L878" s="2" t="s">
        <v>78</v>
      </c>
      <c r="M878">
        <f t="shared" si="75"/>
        <v>5176.333333333333</v>
      </c>
      <c r="N878">
        <f t="shared" si="74"/>
        <v>4980.4977753022013</v>
      </c>
      <c r="O878">
        <f t="shared" si="71"/>
        <v>307</v>
      </c>
      <c r="P878" s="6">
        <f t="shared" si="72"/>
        <v>8.3242950108459876E-2</v>
      </c>
      <c r="Q878" s="6">
        <f t="shared" si="73"/>
        <v>0.35046035122077041</v>
      </c>
    </row>
    <row r="879" spans="1:17" x14ac:dyDescent="0.25">
      <c r="A879" s="3">
        <v>878</v>
      </c>
      <c r="B879" s="3" t="s">
        <v>53</v>
      </c>
      <c r="C879" s="3" t="s">
        <v>54</v>
      </c>
      <c r="D879" s="3" t="s">
        <v>74</v>
      </c>
      <c r="E879" s="3">
        <v>2</v>
      </c>
      <c r="F879" s="3">
        <v>2024</v>
      </c>
      <c r="G879" s="9" t="s">
        <v>91</v>
      </c>
      <c r="H879" s="3">
        <v>3574</v>
      </c>
      <c r="I879" s="3">
        <v>3470</v>
      </c>
      <c r="J879" s="3">
        <v>104</v>
      </c>
      <c r="K879" s="3">
        <v>2.9</v>
      </c>
      <c r="L879" s="3" t="s">
        <v>83</v>
      </c>
      <c r="M879">
        <f t="shared" si="75"/>
        <v>4853</v>
      </c>
      <c r="N879">
        <f t="shared" si="74"/>
        <v>4592.7484427115405</v>
      </c>
      <c r="O879">
        <f t="shared" si="71"/>
        <v>104</v>
      </c>
      <c r="P879" s="6">
        <f t="shared" si="72"/>
        <v>2.9099048684946838E-2</v>
      </c>
      <c r="Q879" s="6">
        <f t="shared" si="73"/>
        <v>0.28504433204016244</v>
      </c>
    </row>
    <row r="880" spans="1:17" x14ac:dyDescent="0.25">
      <c r="A880" s="2">
        <v>879</v>
      </c>
      <c r="B880" s="2" t="s">
        <v>53</v>
      </c>
      <c r="C880" s="2" t="s">
        <v>54</v>
      </c>
      <c r="D880" s="2" t="s">
        <v>74</v>
      </c>
      <c r="E880" s="2">
        <v>3</v>
      </c>
      <c r="F880" s="2">
        <v>2024</v>
      </c>
      <c r="G880" s="8" t="s">
        <v>92</v>
      </c>
      <c r="H880" s="2">
        <v>4097</v>
      </c>
      <c r="I880" s="2">
        <v>4148</v>
      </c>
      <c r="J880" s="2">
        <v>-51</v>
      </c>
      <c r="K880" s="2">
        <v>1.2</v>
      </c>
      <c r="L880" s="2" t="s">
        <v>83</v>
      </c>
      <c r="M880">
        <f t="shared" si="75"/>
        <v>4328.666666666667</v>
      </c>
      <c r="N880">
        <f t="shared" si="74"/>
        <v>4287.1239098980786</v>
      </c>
      <c r="O880">
        <f t="shared" si="71"/>
        <v>51</v>
      </c>
      <c r="P880" s="6">
        <f t="shared" si="72"/>
        <v>1.2448132780082987E-2</v>
      </c>
      <c r="Q880" s="6">
        <f t="shared" si="73"/>
        <v>4.6405640687839547E-2</v>
      </c>
    </row>
    <row r="881" spans="1:17" x14ac:dyDescent="0.25">
      <c r="A881" s="3">
        <v>880</v>
      </c>
      <c r="B881" s="3" t="s">
        <v>53</v>
      </c>
      <c r="C881" s="3" t="s">
        <v>54</v>
      </c>
      <c r="D881" s="3" t="s">
        <v>74</v>
      </c>
      <c r="E881" s="3">
        <v>4</v>
      </c>
      <c r="F881" s="3">
        <v>2024</v>
      </c>
      <c r="G881" s="9" t="s">
        <v>93</v>
      </c>
      <c r="H881" s="3">
        <v>4378</v>
      </c>
      <c r="I881" s="3">
        <v>4290</v>
      </c>
      <c r="J881" s="3">
        <v>88</v>
      </c>
      <c r="K881" s="3">
        <v>2</v>
      </c>
      <c r="L881" s="3" t="s">
        <v>76</v>
      </c>
      <c r="M881">
        <f t="shared" si="75"/>
        <v>3786.3333333333335</v>
      </c>
      <c r="N881">
        <f t="shared" si="74"/>
        <v>4230.0867369286552</v>
      </c>
      <c r="O881">
        <f t="shared" si="71"/>
        <v>88</v>
      </c>
      <c r="P881" s="6">
        <f t="shared" si="72"/>
        <v>2.0100502512562814E-2</v>
      </c>
      <c r="Q881" s="6">
        <f t="shared" si="73"/>
        <v>3.3785578590987839E-2</v>
      </c>
    </row>
    <row r="882" spans="1:17" x14ac:dyDescent="0.25">
      <c r="A882" s="2">
        <v>881</v>
      </c>
      <c r="B882" s="2" t="s">
        <v>53</v>
      </c>
      <c r="C882" s="2" t="s">
        <v>54</v>
      </c>
      <c r="D882" s="2" t="s">
        <v>74</v>
      </c>
      <c r="E882" s="2">
        <v>5</v>
      </c>
      <c r="F882" s="2">
        <v>2024</v>
      </c>
      <c r="G882" s="8" t="s">
        <v>94</v>
      </c>
      <c r="H882" s="2">
        <v>4902</v>
      </c>
      <c r="I882" s="2">
        <v>4833</v>
      </c>
      <c r="J882" s="2">
        <v>69</v>
      </c>
      <c r="K882" s="2">
        <v>1.4</v>
      </c>
      <c r="L882" s="2" t="s">
        <v>78</v>
      </c>
      <c r="M882">
        <f t="shared" si="75"/>
        <v>4016.3333333333335</v>
      </c>
      <c r="N882">
        <f t="shared" si="74"/>
        <v>4274.4607158500585</v>
      </c>
      <c r="O882">
        <f t="shared" si="71"/>
        <v>69</v>
      </c>
      <c r="P882" s="6">
        <f t="shared" si="72"/>
        <v>1.4075887392900856E-2</v>
      </c>
      <c r="Q882" s="6">
        <f t="shared" si="73"/>
        <v>0.12801698983066942</v>
      </c>
    </row>
    <row r="883" spans="1:17" x14ac:dyDescent="0.25">
      <c r="A883" s="3">
        <v>882</v>
      </c>
      <c r="B883" s="3" t="s">
        <v>53</v>
      </c>
      <c r="C883" s="3" t="s">
        <v>54</v>
      </c>
      <c r="D883" s="3" t="s">
        <v>74</v>
      </c>
      <c r="E883" s="3">
        <v>6</v>
      </c>
      <c r="F883" s="3">
        <v>2024</v>
      </c>
      <c r="G883" s="9" t="s">
        <v>95</v>
      </c>
      <c r="H883" s="3">
        <v>4174</v>
      </c>
      <c r="I883" s="3">
        <v>3941</v>
      </c>
      <c r="J883" s="3">
        <v>233</v>
      </c>
      <c r="K883" s="3">
        <v>5.6</v>
      </c>
      <c r="L883" s="3" t="s">
        <v>83</v>
      </c>
      <c r="M883">
        <f t="shared" si="75"/>
        <v>4459</v>
      </c>
      <c r="N883">
        <f t="shared" si="74"/>
        <v>4462.7225010950406</v>
      </c>
      <c r="O883">
        <f t="shared" si="71"/>
        <v>233</v>
      </c>
      <c r="P883" s="6">
        <f t="shared" si="72"/>
        <v>5.5821753713464303E-2</v>
      </c>
      <c r="Q883" s="6">
        <f t="shared" si="73"/>
        <v>6.9171658144475456E-2</v>
      </c>
    </row>
    <row r="884" spans="1:17" x14ac:dyDescent="0.25">
      <c r="A884" s="2">
        <v>883</v>
      </c>
      <c r="B884" s="2" t="s">
        <v>53</v>
      </c>
      <c r="C884" s="2" t="s">
        <v>54</v>
      </c>
      <c r="D884" s="2" t="s">
        <v>74</v>
      </c>
      <c r="E884" s="2">
        <v>7</v>
      </c>
      <c r="F884" s="2">
        <v>2024</v>
      </c>
      <c r="G884" s="8" t="s">
        <v>96</v>
      </c>
      <c r="H884" s="2">
        <v>4556</v>
      </c>
      <c r="I884" s="2">
        <v>4629</v>
      </c>
      <c r="J884" s="2">
        <v>-73</v>
      </c>
      <c r="K884" s="2">
        <v>1.6</v>
      </c>
      <c r="L884" s="2" t="s">
        <v>83</v>
      </c>
      <c r="M884">
        <f t="shared" si="75"/>
        <v>4484.666666666667</v>
      </c>
      <c r="N884">
        <f t="shared" si="74"/>
        <v>4376.1057507665282</v>
      </c>
      <c r="O884">
        <f t="shared" si="71"/>
        <v>73</v>
      </c>
      <c r="P884" s="6">
        <f t="shared" si="72"/>
        <v>1.6022827041264266E-2</v>
      </c>
      <c r="Q884" s="6">
        <f t="shared" si="73"/>
        <v>3.9485129331315143E-2</v>
      </c>
    </row>
    <row r="885" spans="1:17" x14ac:dyDescent="0.25">
      <c r="A885" s="3">
        <v>884</v>
      </c>
      <c r="B885" s="3" t="s">
        <v>53</v>
      </c>
      <c r="C885" s="3" t="s">
        <v>54</v>
      </c>
      <c r="D885" s="3" t="s">
        <v>74</v>
      </c>
      <c r="E885" s="3">
        <v>8</v>
      </c>
      <c r="F885" s="3">
        <v>2024</v>
      </c>
      <c r="G885" s="9" t="s">
        <v>97</v>
      </c>
      <c r="H885" s="3">
        <v>4114</v>
      </c>
      <c r="I885" s="3">
        <v>4010</v>
      </c>
      <c r="J885" s="3">
        <v>104</v>
      </c>
      <c r="K885" s="3">
        <v>2.5</v>
      </c>
      <c r="L885" s="3" t="s">
        <v>76</v>
      </c>
      <c r="M885">
        <f t="shared" si="75"/>
        <v>4544</v>
      </c>
      <c r="N885">
        <f t="shared" si="74"/>
        <v>4430.0740255365699</v>
      </c>
      <c r="O885">
        <f t="shared" si="71"/>
        <v>104</v>
      </c>
      <c r="P885" s="6">
        <f t="shared" si="72"/>
        <v>2.5279533300923675E-2</v>
      </c>
      <c r="Q885" s="6">
        <f t="shared" si="73"/>
        <v>7.682888321258384E-2</v>
      </c>
    </row>
    <row r="886" spans="1:17" x14ac:dyDescent="0.25">
      <c r="A886" s="2">
        <v>885</v>
      </c>
      <c r="B886" s="2" t="s">
        <v>53</v>
      </c>
      <c r="C886" s="2" t="s">
        <v>54</v>
      </c>
      <c r="D886" s="2" t="s">
        <v>74</v>
      </c>
      <c r="E886" s="2">
        <v>9</v>
      </c>
      <c r="F886" s="2">
        <v>2024</v>
      </c>
      <c r="G886" s="8" t="s">
        <v>98</v>
      </c>
      <c r="H886" s="2">
        <v>4474</v>
      </c>
      <c r="I886" s="2">
        <v>4553</v>
      </c>
      <c r="J886" s="2">
        <v>-79</v>
      </c>
      <c r="K886" s="2">
        <v>1.8</v>
      </c>
      <c r="L886" s="2" t="s">
        <v>83</v>
      </c>
      <c r="M886">
        <f t="shared" si="75"/>
        <v>4281.333333333333</v>
      </c>
      <c r="N886">
        <f t="shared" si="74"/>
        <v>4335.251817875599</v>
      </c>
      <c r="O886">
        <f t="shared" si="71"/>
        <v>79</v>
      </c>
      <c r="P886" s="6">
        <f t="shared" si="72"/>
        <v>1.7657577112203844E-2</v>
      </c>
      <c r="Q886" s="6">
        <f t="shared" si="73"/>
        <v>3.1012110443540668E-2</v>
      </c>
    </row>
    <row r="887" spans="1:17" x14ac:dyDescent="0.25">
      <c r="A887" s="3">
        <v>886</v>
      </c>
      <c r="B887" s="3" t="s">
        <v>53</v>
      </c>
      <c r="C887" s="3" t="s">
        <v>54</v>
      </c>
      <c r="D887" s="3" t="s">
        <v>74</v>
      </c>
      <c r="E887" s="3">
        <v>10</v>
      </c>
      <c r="F887" s="3">
        <v>2024</v>
      </c>
      <c r="G887" s="9" t="s">
        <v>99</v>
      </c>
      <c r="H887" s="3">
        <v>4232</v>
      </c>
      <c r="I887" s="3">
        <v>4653</v>
      </c>
      <c r="J887" s="3">
        <v>-421</v>
      </c>
      <c r="K887" s="3">
        <v>9.9</v>
      </c>
      <c r="L887" s="3" t="s">
        <v>76</v>
      </c>
      <c r="M887">
        <f t="shared" si="75"/>
        <v>4381.333333333333</v>
      </c>
      <c r="N887">
        <f t="shared" si="74"/>
        <v>4376.8762725129191</v>
      </c>
      <c r="O887">
        <f t="shared" si="71"/>
        <v>421</v>
      </c>
      <c r="P887" s="6">
        <f t="shared" si="72"/>
        <v>9.9480151228733465E-2</v>
      </c>
      <c r="Q887" s="6">
        <f t="shared" si="73"/>
        <v>3.4233523750689755E-2</v>
      </c>
    </row>
    <row r="888" spans="1:17" x14ac:dyDescent="0.25">
      <c r="A888" s="2">
        <v>887</v>
      </c>
      <c r="B888" s="2" t="s">
        <v>53</v>
      </c>
      <c r="C888" s="2" t="s">
        <v>54</v>
      </c>
      <c r="D888" s="2" t="s">
        <v>74</v>
      </c>
      <c r="E888" s="2">
        <v>11</v>
      </c>
      <c r="F888" s="2">
        <v>2024</v>
      </c>
      <c r="G888" s="8" t="s">
        <v>100</v>
      </c>
      <c r="H888" s="2">
        <v>4751</v>
      </c>
      <c r="I888" s="2">
        <v>4671</v>
      </c>
      <c r="J888" s="2">
        <v>80</v>
      </c>
      <c r="K888" s="2">
        <v>1.7</v>
      </c>
      <c r="L888" s="2" t="s">
        <v>78</v>
      </c>
      <c r="M888">
        <f t="shared" si="75"/>
        <v>4273.333333333333</v>
      </c>
      <c r="N888">
        <f t="shared" si="74"/>
        <v>4333.4133907590431</v>
      </c>
      <c r="O888">
        <f t="shared" si="71"/>
        <v>80</v>
      </c>
      <c r="P888" s="6">
        <f t="shared" si="72"/>
        <v>1.6838560303094087E-2</v>
      </c>
      <c r="Q888" s="6">
        <f t="shared" si="73"/>
        <v>8.7894466268355495E-2</v>
      </c>
    </row>
    <row r="889" spans="1:17" x14ac:dyDescent="0.25">
      <c r="A889" s="3">
        <v>888</v>
      </c>
      <c r="B889" s="3" t="s">
        <v>53</v>
      </c>
      <c r="C889" s="3" t="s">
        <v>54</v>
      </c>
      <c r="D889" s="3" t="s">
        <v>74</v>
      </c>
      <c r="E889" s="3">
        <v>12</v>
      </c>
      <c r="F889" s="3">
        <v>2024</v>
      </c>
      <c r="G889" s="9" t="s">
        <v>101</v>
      </c>
      <c r="H889" s="3">
        <v>4956</v>
      </c>
      <c r="I889" s="3">
        <v>5392</v>
      </c>
      <c r="J889" s="3">
        <v>-436</v>
      </c>
      <c r="K889" s="3">
        <v>8.8000000000000007</v>
      </c>
      <c r="L889" s="3" t="s">
        <v>78</v>
      </c>
      <c r="M889">
        <f t="shared" si="75"/>
        <v>4485.666666666667</v>
      </c>
      <c r="N889">
        <f t="shared" si="74"/>
        <v>4458.6893735313297</v>
      </c>
      <c r="O889">
        <f t="shared" si="71"/>
        <v>436</v>
      </c>
      <c r="P889" s="6">
        <f t="shared" si="72"/>
        <v>8.7974172719935434E-2</v>
      </c>
      <c r="Q889" s="6">
        <f t="shared" si="73"/>
        <v>0.1003451627257204</v>
      </c>
    </row>
    <row r="890" spans="1:17" x14ac:dyDescent="0.25">
      <c r="A890" s="2">
        <v>889</v>
      </c>
      <c r="B890" s="2" t="s">
        <v>53</v>
      </c>
      <c r="C890" s="2" t="s">
        <v>54</v>
      </c>
      <c r="D890" s="2" t="s">
        <v>102</v>
      </c>
      <c r="E890" s="2">
        <v>1</v>
      </c>
      <c r="F890" s="2">
        <v>2023</v>
      </c>
      <c r="G890" s="8" t="s">
        <v>75</v>
      </c>
      <c r="H890" s="2">
        <v>2924</v>
      </c>
      <c r="I890" s="2">
        <v>2832</v>
      </c>
      <c r="J890" s="2">
        <v>92</v>
      </c>
      <c r="K890" s="2">
        <v>3.1</v>
      </c>
      <c r="L890" s="2" t="s">
        <v>78</v>
      </c>
      <c r="M890">
        <f t="shared" si="75"/>
        <v>4646.333333333333</v>
      </c>
      <c r="N890">
        <f t="shared" si="74"/>
        <v>4607.8825614719308</v>
      </c>
      <c r="O890">
        <f t="shared" si="71"/>
        <v>92</v>
      </c>
      <c r="P890" s="6">
        <f t="shared" si="72"/>
        <v>3.1463748290013679E-2</v>
      </c>
      <c r="Q890" s="6">
        <f t="shared" si="73"/>
        <v>0.57588322895756872</v>
      </c>
    </row>
    <row r="891" spans="1:17" x14ac:dyDescent="0.25">
      <c r="A891" s="3">
        <v>890</v>
      </c>
      <c r="B891" s="3" t="s">
        <v>53</v>
      </c>
      <c r="C891" s="3" t="s">
        <v>54</v>
      </c>
      <c r="D891" s="3" t="s">
        <v>102</v>
      </c>
      <c r="E891" s="3">
        <v>2</v>
      </c>
      <c r="F891" s="3">
        <v>2023</v>
      </c>
      <c r="G891" s="9" t="s">
        <v>77</v>
      </c>
      <c r="H891" s="3">
        <v>2942</v>
      </c>
      <c r="I891" s="3">
        <v>2852</v>
      </c>
      <c r="J891" s="3">
        <v>90</v>
      </c>
      <c r="K891" s="3">
        <v>3.1</v>
      </c>
      <c r="L891" s="3" t="s">
        <v>78</v>
      </c>
      <c r="M891">
        <f t="shared" si="75"/>
        <v>4210.333333333333</v>
      </c>
      <c r="N891">
        <f t="shared" si="74"/>
        <v>4102.7177930303515</v>
      </c>
      <c r="O891">
        <f t="shared" si="71"/>
        <v>90</v>
      </c>
      <c r="P891" s="6">
        <f t="shared" si="72"/>
        <v>3.0591434398368457E-2</v>
      </c>
      <c r="Q891" s="6">
        <f t="shared" si="73"/>
        <v>0.39453358022785567</v>
      </c>
    </row>
    <row r="892" spans="1:17" x14ac:dyDescent="0.25">
      <c r="A892" s="2">
        <v>891</v>
      </c>
      <c r="B892" s="2" t="s">
        <v>53</v>
      </c>
      <c r="C892" s="2" t="s">
        <v>54</v>
      </c>
      <c r="D892" s="2" t="s">
        <v>102</v>
      </c>
      <c r="E892" s="2">
        <v>3</v>
      </c>
      <c r="F892" s="2">
        <v>2023</v>
      </c>
      <c r="G892" s="8" t="s">
        <v>79</v>
      </c>
      <c r="H892" s="2">
        <v>3341</v>
      </c>
      <c r="I892" s="2">
        <v>3472</v>
      </c>
      <c r="J892" s="2">
        <v>-131</v>
      </c>
      <c r="K892" s="2">
        <v>3.9</v>
      </c>
      <c r="L892" s="2" t="s">
        <v>76</v>
      </c>
      <c r="M892">
        <f t="shared" si="75"/>
        <v>3607.3333333333335</v>
      </c>
      <c r="N892">
        <f t="shared" si="74"/>
        <v>3754.5024551212459</v>
      </c>
      <c r="O892">
        <f t="shared" si="71"/>
        <v>131</v>
      </c>
      <c r="P892" s="6">
        <f t="shared" si="72"/>
        <v>3.9209817419934151E-2</v>
      </c>
      <c r="Q892" s="6">
        <f t="shared" si="73"/>
        <v>0.12376607456487457</v>
      </c>
    </row>
    <row r="893" spans="1:17" x14ac:dyDescent="0.25">
      <c r="A893" s="3">
        <v>892</v>
      </c>
      <c r="B893" s="3" t="s">
        <v>53</v>
      </c>
      <c r="C893" s="3" t="s">
        <v>54</v>
      </c>
      <c r="D893" s="3" t="s">
        <v>102</v>
      </c>
      <c r="E893" s="3">
        <v>4</v>
      </c>
      <c r="F893" s="3">
        <v>2023</v>
      </c>
      <c r="G893" s="9" t="s">
        <v>80</v>
      </c>
      <c r="H893" s="3">
        <v>3199</v>
      </c>
      <c r="I893" s="3">
        <v>2907</v>
      </c>
      <c r="J893" s="3">
        <v>292</v>
      </c>
      <c r="K893" s="3">
        <v>9.1</v>
      </c>
      <c r="L893" s="3" t="s">
        <v>83</v>
      </c>
      <c r="M893">
        <f t="shared" si="75"/>
        <v>3069</v>
      </c>
      <c r="N893">
        <f t="shared" si="74"/>
        <v>3630.4517185848717</v>
      </c>
      <c r="O893">
        <f t="shared" si="71"/>
        <v>292</v>
      </c>
      <c r="P893" s="6">
        <f t="shared" si="72"/>
        <v>9.127852453891841E-2</v>
      </c>
      <c r="Q893" s="6">
        <f t="shared" si="73"/>
        <v>0.13487080918564293</v>
      </c>
    </row>
    <row r="894" spans="1:17" x14ac:dyDescent="0.25">
      <c r="A894" s="2">
        <v>893</v>
      </c>
      <c r="B894" s="2" t="s">
        <v>53</v>
      </c>
      <c r="C894" s="2" t="s">
        <v>54</v>
      </c>
      <c r="D894" s="2" t="s">
        <v>102</v>
      </c>
      <c r="E894" s="2">
        <v>5</v>
      </c>
      <c r="F894" s="2">
        <v>2023</v>
      </c>
      <c r="G894" s="8" t="s">
        <v>81</v>
      </c>
      <c r="H894" s="2">
        <v>3402</v>
      </c>
      <c r="I894" s="2">
        <v>3639</v>
      </c>
      <c r="J894" s="2">
        <v>-237</v>
      </c>
      <c r="K894" s="2">
        <v>7</v>
      </c>
      <c r="L894" s="2" t="s">
        <v>83</v>
      </c>
      <c r="M894">
        <f t="shared" si="75"/>
        <v>3160.6666666666665</v>
      </c>
      <c r="N894">
        <f t="shared" si="74"/>
        <v>3501.0162030094098</v>
      </c>
      <c r="O894">
        <f t="shared" si="71"/>
        <v>237</v>
      </c>
      <c r="P894" s="6">
        <f t="shared" si="72"/>
        <v>6.9664902998236328E-2</v>
      </c>
      <c r="Q894" s="6">
        <f t="shared" si="73"/>
        <v>2.910529188989117E-2</v>
      </c>
    </row>
    <row r="895" spans="1:17" x14ac:dyDescent="0.25">
      <c r="A895" s="3">
        <v>894</v>
      </c>
      <c r="B895" s="3" t="s">
        <v>53</v>
      </c>
      <c r="C895" s="3" t="s">
        <v>54</v>
      </c>
      <c r="D895" s="3" t="s">
        <v>102</v>
      </c>
      <c r="E895" s="3">
        <v>6</v>
      </c>
      <c r="F895" s="3">
        <v>2023</v>
      </c>
      <c r="G895" s="9" t="s">
        <v>82</v>
      </c>
      <c r="H895" s="3">
        <v>3558</v>
      </c>
      <c r="I895" s="3">
        <v>3771</v>
      </c>
      <c r="J895" s="3">
        <v>-213</v>
      </c>
      <c r="K895" s="3">
        <v>6</v>
      </c>
      <c r="L895" s="3" t="s">
        <v>83</v>
      </c>
      <c r="M895">
        <f t="shared" si="75"/>
        <v>3314</v>
      </c>
      <c r="N895">
        <f t="shared" si="74"/>
        <v>3471.3113421065864</v>
      </c>
      <c r="O895">
        <f t="shared" si="71"/>
        <v>213</v>
      </c>
      <c r="P895" s="6">
        <f t="shared" si="72"/>
        <v>5.9865092748735242E-2</v>
      </c>
      <c r="Q895" s="6">
        <f t="shared" si="73"/>
        <v>2.4364434483814958E-2</v>
      </c>
    </row>
    <row r="896" spans="1:17" x14ac:dyDescent="0.25">
      <c r="A896" s="2">
        <v>895</v>
      </c>
      <c r="B896" s="2" t="s">
        <v>53</v>
      </c>
      <c r="C896" s="2" t="s">
        <v>54</v>
      </c>
      <c r="D896" s="2" t="s">
        <v>102</v>
      </c>
      <c r="E896" s="2">
        <v>7</v>
      </c>
      <c r="F896" s="2">
        <v>2023</v>
      </c>
      <c r="G896" s="8" t="s">
        <v>84</v>
      </c>
      <c r="H896" s="2">
        <v>3618</v>
      </c>
      <c r="I896" s="2">
        <v>3382</v>
      </c>
      <c r="J896" s="2">
        <v>236</v>
      </c>
      <c r="K896" s="2">
        <v>6.5</v>
      </c>
      <c r="L896" s="2" t="s">
        <v>78</v>
      </c>
      <c r="M896">
        <f t="shared" si="75"/>
        <v>3386.3333333333335</v>
      </c>
      <c r="N896">
        <f t="shared" si="74"/>
        <v>3497.3179394746103</v>
      </c>
      <c r="O896">
        <f t="shared" si="71"/>
        <v>236</v>
      </c>
      <c r="P896" s="6">
        <f t="shared" si="72"/>
        <v>6.5229408512990597E-2</v>
      </c>
      <c r="Q896" s="6">
        <f t="shared" si="73"/>
        <v>3.3356014517797045E-2</v>
      </c>
    </row>
    <row r="897" spans="1:17" x14ac:dyDescent="0.25">
      <c r="A897" s="3">
        <v>896</v>
      </c>
      <c r="B897" s="3" t="s">
        <v>53</v>
      </c>
      <c r="C897" s="3" t="s">
        <v>54</v>
      </c>
      <c r="D897" s="3" t="s">
        <v>102</v>
      </c>
      <c r="E897" s="3">
        <v>8</v>
      </c>
      <c r="F897" s="3">
        <v>2023</v>
      </c>
      <c r="G897" s="9" t="s">
        <v>85</v>
      </c>
      <c r="H897" s="3">
        <v>3596</v>
      </c>
      <c r="I897" s="3">
        <v>3543</v>
      </c>
      <c r="J897" s="3">
        <v>53</v>
      </c>
      <c r="K897" s="3">
        <v>1.5</v>
      </c>
      <c r="L897" s="3" t="s">
        <v>76</v>
      </c>
      <c r="M897">
        <f t="shared" si="75"/>
        <v>3526</v>
      </c>
      <c r="N897">
        <f t="shared" si="74"/>
        <v>3533.5225576322273</v>
      </c>
      <c r="O897">
        <f t="shared" si="71"/>
        <v>53</v>
      </c>
      <c r="P897" s="6">
        <f t="shared" si="72"/>
        <v>1.4738598442714126E-2</v>
      </c>
      <c r="Q897" s="6">
        <f t="shared" si="73"/>
        <v>1.7374149712951256E-2</v>
      </c>
    </row>
    <row r="898" spans="1:17" x14ac:dyDescent="0.25">
      <c r="A898" s="2">
        <v>897</v>
      </c>
      <c r="B898" s="2" t="s">
        <v>53</v>
      </c>
      <c r="C898" s="2" t="s">
        <v>54</v>
      </c>
      <c r="D898" s="2" t="s">
        <v>102</v>
      </c>
      <c r="E898" s="2">
        <v>9</v>
      </c>
      <c r="F898" s="2">
        <v>2023</v>
      </c>
      <c r="G898" s="8" t="s">
        <v>86</v>
      </c>
      <c r="H898" s="2">
        <v>3340</v>
      </c>
      <c r="I898" s="2">
        <v>3276</v>
      </c>
      <c r="J898" s="2">
        <v>64</v>
      </c>
      <c r="K898" s="2">
        <v>1.9</v>
      </c>
      <c r="L898" s="2" t="s">
        <v>78</v>
      </c>
      <c r="M898">
        <f t="shared" si="75"/>
        <v>3590.6666666666665</v>
      </c>
      <c r="N898">
        <f t="shared" si="74"/>
        <v>3552.2657903425588</v>
      </c>
      <c r="O898">
        <f t="shared" si="71"/>
        <v>64</v>
      </c>
      <c r="P898" s="6">
        <f t="shared" si="72"/>
        <v>1.9161676646706587E-2</v>
      </c>
      <c r="Q898" s="6">
        <f t="shared" si="73"/>
        <v>6.3552631839089477E-2</v>
      </c>
    </row>
    <row r="899" spans="1:17" x14ac:dyDescent="0.25">
      <c r="A899" s="3">
        <v>898</v>
      </c>
      <c r="B899" s="3" t="s">
        <v>53</v>
      </c>
      <c r="C899" s="3" t="s">
        <v>54</v>
      </c>
      <c r="D899" s="3" t="s">
        <v>102</v>
      </c>
      <c r="E899" s="3">
        <v>10</v>
      </c>
      <c r="F899" s="3">
        <v>2023</v>
      </c>
      <c r="G899" s="9" t="s">
        <v>87</v>
      </c>
      <c r="H899" s="3">
        <v>3631</v>
      </c>
      <c r="I899" s="3">
        <v>3745</v>
      </c>
      <c r="J899" s="3">
        <v>-114</v>
      </c>
      <c r="K899" s="3">
        <v>3.1</v>
      </c>
      <c r="L899" s="3" t="s">
        <v>76</v>
      </c>
      <c r="M899">
        <f t="shared" si="75"/>
        <v>3518</v>
      </c>
      <c r="N899">
        <f t="shared" si="74"/>
        <v>3488.586053239791</v>
      </c>
      <c r="O899">
        <f t="shared" ref="O899:O962" si="76">ABS(H899-I899)</f>
        <v>114</v>
      </c>
      <c r="P899" s="6">
        <f t="shared" ref="P899:P962" si="77">ABS(O899)/H899</f>
        <v>3.1396309556595982E-2</v>
      </c>
      <c r="Q899" s="6">
        <f t="shared" ref="Q899:Q962" si="78">ABS((H899-N899))/H899</f>
        <v>3.922168734789562E-2</v>
      </c>
    </row>
    <row r="900" spans="1:17" x14ac:dyDescent="0.25">
      <c r="A900" s="2">
        <v>899</v>
      </c>
      <c r="B900" s="2" t="s">
        <v>53</v>
      </c>
      <c r="C900" s="2" t="s">
        <v>54</v>
      </c>
      <c r="D900" s="2" t="s">
        <v>102</v>
      </c>
      <c r="E900" s="2">
        <v>11</v>
      </c>
      <c r="F900" s="2">
        <v>2023</v>
      </c>
      <c r="G900" s="8" t="s">
        <v>88</v>
      </c>
      <c r="H900" s="2">
        <v>3958</v>
      </c>
      <c r="I900" s="2">
        <v>4048</v>
      </c>
      <c r="J900" s="2">
        <v>-90</v>
      </c>
      <c r="K900" s="2">
        <v>2.2999999999999998</v>
      </c>
      <c r="L900" s="2" t="s">
        <v>78</v>
      </c>
      <c r="M900">
        <f t="shared" si="75"/>
        <v>3522.3333333333335</v>
      </c>
      <c r="N900">
        <f t="shared" ref="N900:N963" si="79">0.3*H899+(0.7*N899)</f>
        <v>3531.3102372678532</v>
      </c>
      <c r="O900">
        <f t="shared" si="76"/>
        <v>90</v>
      </c>
      <c r="P900" s="6">
        <f t="shared" si="77"/>
        <v>2.2738756947953513E-2</v>
      </c>
      <c r="Q900" s="6">
        <f t="shared" si="78"/>
        <v>0.10780438674384711</v>
      </c>
    </row>
    <row r="901" spans="1:17" x14ac:dyDescent="0.25">
      <c r="A901" s="3">
        <v>900</v>
      </c>
      <c r="B901" s="3" t="s">
        <v>53</v>
      </c>
      <c r="C901" s="3" t="s">
        <v>54</v>
      </c>
      <c r="D901" s="3" t="s">
        <v>102</v>
      </c>
      <c r="E901" s="3">
        <v>12</v>
      </c>
      <c r="F901" s="3">
        <v>2023</v>
      </c>
      <c r="G901" s="9" t="s">
        <v>89</v>
      </c>
      <c r="H901" s="3">
        <v>4584</v>
      </c>
      <c r="I901" s="3">
        <v>4519</v>
      </c>
      <c r="J901" s="3">
        <v>65</v>
      </c>
      <c r="K901" s="3">
        <v>1.4</v>
      </c>
      <c r="L901" s="3" t="s">
        <v>78</v>
      </c>
      <c r="M901">
        <f t="shared" si="75"/>
        <v>3643</v>
      </c>
      <c r="N901">
        <f t="shared" si="79"/>
        <v>3659.3171660874968</v>
      </c>
      <c r="O901">
        <f t="shared" si="76"/>
        <v>65</v>
      </c>
      <c r="P901" s="6">
        <f t="shared" si="77"/>
        <v>1.4179755671902269E-2</v>
      </c>
      <c r="Q901" s="6">
        <f t="shared" si="78"/>
        <v>0.20171964090586891</v>
      </c>
    </row>
    <row r="902" spans="1:17" x14ac:dyDescent="0.25">
      <c r="A902" s="2">
        <v>901</v>
      </c>
      <c r="B902" s="2" t="s">
        <v>53</v>
      </c>
      <c r="C902" s="2" t="s">
        <v>54</v>
      </c>
      <c r="D902" s="2" t="s">
        <v>102</v>
      </c>
      <c r="E902" s="2">
        <v>1</v>
      </c>
      <c r="F902" s="2">
        <v>2024</v>
      </c>
      <c r="G902" s="8" t="s">
        <v>90</v>
      </c>
      <c r="H902" s="2">
        <v>3183</v>
      </c>
      <c r="I902" s="2">
        <v>2995</v>
      </c>
      <c r="J902" s="2">
        <v>188</v>
      </c>
      <c r="K902" s="2">
        <v>5.9</v>
      </c>
      <c r="L902" s="2" t="s">
        <v>83</v>
      </c>
      <c r="M902">
        <f t="shared" ref="M902:M965" si="80">AVERAGE(H899:H901)</f>
        <v>4057.6666666666665</v>
      </c>
      <c r="N902">
        <f t="shared" si="79"/>
        <v>3936.7220162612475</v>
      </c>
      <c r="O902">
        <f t="shared" si="76"/>
        <v>188</v>
      </c>
      <c r="P902" s="6">
        <f t="shared" si="77"/>
        <v>5.9063776311655672E-2</v>
      </c>
      <c r="Q902" s="6">
        <f t="shared" si="78"/>
        <v>0.23679610941289586</v>
      </c>
    </row>
    <row r="903" spans="1:17" x14ac:dyDescent="0.25">
      <c r="A903" s="3">
        <v>902</v>
      </c>
      <c r="B903" s="3" t="s">
        <v>53</v>
      </c>
      <c r="C903" s="3" t="s">
        <v>54</v>
      </c>
      <c r="D903" s="3" t="s">
        <v>102</v>
      </c>
      <c r="E903" s="3">
        <v>2</v>
      </c>
      <c r="F903" s="3">
        <v>2024</v>
      </c>
      <c r="G903" s="9" t="s">
        <v>91</v>
      </c>
      <c r="H903" s="3">
        <v>3144</v>
      </c>
      <c r="I903" s="3">
        <v>2868</v>
      </c>
      <c r="J903" s="3">
        <v>276</v>
      </c>
      <c r="K903" s="3">
        <v>8.8000000000000007</v>
      </c>
      <c r="L903" s="3" t="s">
        <v>78</v>
      </c>
      <c r="M903">
        <f t="shared" si="80"/>
        <v>3908.3333333333335</v>
      </c>
      <c r="N903">
        <f t="shared" si="79"/>
        <v>3710.6054113828732</v>
      </c>
      <c r="O903">
        <f t="shared" si="76"/>
        <v>276</v>
      </c>
      <c r="P903" s="6">
        <f t="shared" si="77"/>
        <v>8.7786259541984726E-2</v>
      </c>
      <c r="Q903" s="6">
        <f t="shared" si="78"/>
        <v>0.180218006165036</v>
      </c>
    </row>
    <row r="904" spans="1:17" x14ac:dyDescent="0.25">
      <c r="A904" s="2">
        <v>903</v>
      </c>
      <c r="B904" s="2" t="s">
        <v>53</v>
      </c>
      <c r="C904" s="2" t="s">
        <v>54</v>
      </c>
      <c r="D904" s="2" t="s">
        <v>102</v>
      </c>
      <c r="E904" s="2">
        <v>3</v>
      </c>
      <c r="F904" s="2">
        <v>2024</v>
      </c>
      <c r="G904" s="8" t="s">
        <v>92</v>
      </c>
      <c r="H904" s="2">
        <v>3635</v>
      </c>
      <c r="I904" s="2">
        <v>3661</v>
      </c>
      <c r="J904" s="2">
        <v>-26</v>
      </c>
      <c r="K904" s="2">
        <v>0.7</v>
      </c>
      <c r="L904" s="2" t="s">
        <v>76</v>
      </c>
      <c r="M904">
        <f t="shared" si="80"/>
        <v>3637</v>
      </c>
      <c r="N904">
        <f t="shared" si="79"/>
        <v>3540.6237879680107</v>
      </c>
      <c r="O904">
        <f t="shared" si="76"/>
        <v>26</v>
      </c>
      <c r="P904" s="6">
        <f t="shared" si="77"/>
        <v>7.1526822558459421E-3</v>
      </c>
      <c r="Q904" s="6">
        <f t="shared" si="78"/>
        <v>2.5963194506737092E-2</v>
      </c>
    </row>
    <row r="905" spans="1:17" x14ac:dyDescent="0.25">
      <c r="A905" s="3">
        <v>904</v>
      </c>
      <c r="B905" s="3" t="s">
        <v>53</v>
      </c>
      <c r="C905" s="3" t="s">
        <v>54</v>
      </c>
      <c r="D905" s="3" t="s">
        <v>102</v>
      </c>
      <c r="E905" s="3">
        <v>4</v>
      </c>
      <c r="F905" s="3">
        <v>2024</v>
      </c>
      <c r="G905" s="9" t="s">
        <v>93</v>
      </c>
      <c r="H905" s="3">
        <v>3420</v>
      </c>
      <c r="I905" s="3">
        <v>3390</v>
      </c>
      <c r="J905" s="3">
        <v>30</v>
      </c>
      <c r="K905" s="3">
        <v>0.9</v>
      </c>
      <c r="L905" s="3" t="s">
        <v>76</v>
      </c>
      <c r="M905">
        <f t="shared" si="80"/>
        <v>3320.6666666666665</v>
      </c>
      <c r="N905">
        <f t="shared" si="79"/>
        <v>3568.9366515776073</v>
      </c>
      <c r="O905">
        <f t="shared" si="76"/>
        <v>30</v>
      </c>
      <c r="P905" s="6">
        <f t="shared" si="77"/>
        <v>8.771929824561403E-3</v>
      </c>
      <c r="Q905" s="6">
        <f t="shared" si="78"/>
        <v>4.3548728531464131E-2</v>
      </c>
    </row>
    <row r="906" spans="1:17" x14ac:dyDescent="0.25">
      <c r="A906" s="2">
        <v>905</v>
      </c>
      <c r="B906" s="2" t="s">
        <v>53</v>
      </c>
      <c r="C906" s="2" t="s">
        <v>54</v>
      </c>
      <c r="D906" s="2" t="s">
        <v>102</v>
      </c>
      <c r="E906" s="2">
        <v>5</v>
      </c>
      <c r="F906" s="2">
        <v>2024</v>
      </c>
      <c r="G906" s="8" t="s">
        <v>94</v>
      </c>
      <c r="H906" s="2">
        <v>3902</v>
      </c>
      <c r="I906" s="2">
        <v>3893</v>
      </c>
      <c r="J906" s="2">
        <v>9</v>
      </c>
      <c r="K906" s="2">
        <v>0.2</v>
      </c>
      <c r="L906" s="2" t="s">
        <v>83</v>
      </c>
      <c r="M906">
        <f t="shared" si="80"/>
        <v>3399.6666666666665</v>
      </c>
      <c r="N906">
        <f t="shared" si="79"/>
        <v>3524.2556561043248</v>
      </c>
      <c r="O906">
        <f t="shared" si="76"/>
        <v>9</v>
      </c>
      <c r="P906" s="6">
        <f t="shared" si="77"/>
        <v>2.3065094823167607E-3</v>
      </c>
      <c r="Q906" s="6">
        <f t="shared" si="78"/>
        <v>9.6807879009655359E-2</v>
      </c>
    </row>
    <row r="907" spans="1:17" x14ac:dyDescent="0.25">
      <c r="A907" s="3">
        <v>906</v>
      </c>
      <c r="B907" s="3" t="s">
        <v>53</v>
      </c>
      <c r="C907" s="3" t="s">
        <v>54</v>
      </c>
      <c r="D907" s="3" t="s">
        <v>102</v>
      </c>
      <c r="E907" s="3">
        <v>6</v>
      </c>
      <c r="F907" s="3">
        <v>2024</v>
      </c>
      <c r="G907" s="9" t="s">
        <v>95</v>
      </c>
      <c r="H907" s="3">
        <v>3751</v>
      </c>
      <c r="I907" s="3">
        <v>3667</v>
      </c>
      <c r="J907" s="3">
        <v>84</v>
      </c>
      <c r="K907" s="3">
        <v>2.2000000000000002</v>
      </c>
      <c r="L907" s="3" t="s">
        <v>76</v>
      </c>
      <c r="M907">
        <f t="shared" si="80"/>
        <v>3652.3333333333335</v>
      </c>
      <c r="N907">
        <f t="shared" si="79"/>
        <v>3637.5789592730271</v>
      </c>
      <c r="O907">
        <f t="shared" si="76"/>
        <v>84</v>
      </c>
      <c r="P907" s="6">
        <f t="shared" si="77"/>
        <v>2.2394028259130897E-2</v>
      </c>
      <c r="Q907" s="6">
        <f t="shared" si="78"/>
        <v>3.0237547514522244E-2</v>
      </c>
    </row>
    <row r="908" spans="1:17" x14ac:dyDescent="0.25">
      <c r="A908" s="2">
        <v>907</v>
      </c>
      <c r="B908" s="2" t="s">
        <v>53</v>
      </c>
      <c r="C908" s="2" t="s">
        <v>54</v>
      </c>
      <c r="D908" s="2" t="s">
        <v>102</v>
      </c>
      <c r="E908" s="2">
        <v>7</v>
      </c>
      <c r="F908" s="2">
        <v>2024</v>
      </c>
      <c r="G908" s="8" t="s">
        <v>96</v>
      </c>
      <c r="H908" s="2">
        <v>3936</v>
      </c>
      <c r="I908" s="2">
        <v>3816</v>
      </c>
      <c r="J908" s="2">
        <v>120</v>
      </c>
      <c r="K908" s="2">
        <v>3</v>
      </c>
      <c r="L908" s="2" t="s">
        <v>76</v>
      </c>
      <c r="M908">
        <f t="shared" si="80"/>
        <v>3691</v>
      </c>
      <c r="N908">
        <f t="shared" si="79"/>
        <v>3671.6052714911184</v>
      </c>
      <c r="O908">
        <f t="shared" si="76"/>
        <v>120</v>
      </c>
      <c r="P908" s="6">
        <f t="shared" si="77"/>
        <v>3.048780487804878E-2</v>
      </c>
      <c r="Q908" s="6">
        <f t="shared" si="78"/>
        <v>6.7173457446362189E-2</v>
      </c>
    </row>
    <row r="909" spans="1:17" x14ac:dyDescent="0.25">
      <c r="A909" s="3">
        <v>908</v>
      </c>
      <c r="B909" s="3" t="s">
        <v>53</v>
      </c>
      <c r="C909" s="3" t="s">
        <v>54</v>
      </c>
      <c r="D909" s="3" t="s">
        <v>102</v>
      </c>
      <c r="E909" s="3">
        <v>8</v>
      </c>
      <c r="F909" s="3">
        <v>2024</v>
      </c>
      <c r="G909" s="9" t="s">
        <v>97</v>
      </c>
      <c r="H909" s="3">
        <v>3854</v>
      </c>
      <c r="I909" s="3">
        <v>4095</v>
      </c>
      <c r="J909" s="3">
        <v>-241</v>
      </c>
      <c r="K909" s="3">
        <v>6.3</v>
      </c>
      <c r="L909" s="3" t="s">
        <v>83</v>
      </c>
      <c r="M909">
        <f t="shared" si="80"/>
        <v>3863</v>
      </c>
      <c r="N909">
        <f t="shared" si="79"/>
        <v>3750.9236900437827</v>
      </c>
      <c r="O909">
        <f t="shared" si="76"/>
        <v>241</v>
      </c>
      <c r="P909" s="6">
        <f t="shared" si="77"/>
        <v>6.2532433834976642E-2</v>
      </c>
      <c r="Q909" s="6">
        <f t="shared" si="78"/>
        <v>2.6745280216973873E-2</v>
      </c>
    </row>
    <row r="910" spans="1:17" x14ac:dyDescent="0.25">
      <c r="A910" s="2">
        <v>909</v>
      </c>
      <c r="B910" s="2" t="s">
        <v>53</v>
      </c>
      <c r="C910" s="2" t="s">
        <v>54</v>
      </c>
      <c r="D910" s="2" t="s">
        <v>102</v>
      </c>
      <c r="E910" s="2">
        <v>9</v>
      </c>
      <c r="F910" s="2">
        <v>2024</v>
      </c>
      <c r="G910" s="8" t="s">
        <v>98</v>
      </c>
      <c r="H910" s="2">
        <v>3827</v>
      </c>
      <c r="I910" s="2">
        <v>4147</v>
      </c>
      <c r="J910" s="2">
        <v>-320</v>
      </c>
      <c r="K910" s="2">
        <v>8.4</v>
      </c>
      <c r="L910" s="2" t="s">
        <v>83</v>
      </c>
      <c r="M910">
        <f t="shared" si="80"/>
        <v>3847</v>
      </c>
      <c r="N910">
        <f t="shared" si="79"/>
        <v>3781.8465830306477</v>
      </c>
      <c r="O910">
        <f t="shared" si="76"/>
        <v>320</v>
      </c>
      <c r="P910" s="6">
        <f t="shared" si="77"/>
        <v>8.3616409720407625E-2</v>
      </c>
      <c r="Q910" s="6">
        <f t="shared" si="78"/>
        <v>1.1798645667455525E-2</v>
      </c>
    </row>
    <row r="911" spans="1:17" x14ac:dyDescent="0.25">
      <c r="A911" s="3">
        <v>910</v>
      </c>
      <c r="B911" s="3" t="s">
        <v>53</v>
      </c>
      <c r="C911" s="3" t="s">
        <v>54</v>
      </c>
      <c r="D911" s="3" t="s">
        <v>102</v>
      </c>
      <c r="E911" s="3">
        <v>10</v>
      </c>
      <c r="F911" s="3">
        <v>2024</v>
      </c>
      <c r="G911" s="9" t="s">
        <v>99</v>
      </c>
      <c r="H911" s="3">
        <v>3535</v>
      </c>
      <c r="I911" s="3">
        <v>3276</v>
      </c>
      <c r="J911" s="3">
        <v>259</v>
      </c>
      <c r="K911" s="3">
        <v>7.3</v>
      </c>
      <c r="L911" s="3" t="s">
        <v>78</v>
      </c>
      <c r="M911">
        <f t="shared" si="80"/>
        <v>3872.3333333333335</v>
      </c>
      <c r="N911">
        <f t="shared" si="79"/>
        <v>3795.3926081214531</v>
      </c>
      <c r="O911">
        <f t="shared" si="76"/>
        <v>259</v>
      </c>
      <c r="P911" s="6">
        <f t="shared" si="77"/>
        <v>7.3267326732673263E-2</v>
      </c>
      <c r="Q911" s="6">
        <f t="shared" si="78"/>
        <v>7.3661275281882072E-2</v>
      </c>
    </row>
    <row r="912" spans="1:17" x14ac:dyDescent="0.25">
      <c r="A912" s="2">
        <v>911</v>
      </c>
      <c r="B912" s="2" t="s">
        <v>53</v>
      </c>
      <c r="C912" s="2" t="s">
        <v>54</v>
      </c>
      <c r="D912" s="2" t="s">
        <v>102</v>
      </c>
      <c r="E912" s="2">
        <v>11</v>
      </c>
      <c r="F912" s="2">
        <v>2024</v>
      </c>
      <c r="G912" s="8" t="s">
        <v>100</v>
      </c>
      <c r="H912" s="2">
        <v>4182</v>
      </c>
      <c r="I912" s="2">
        <v>3861</v>
      </c>
      <c r="J912" s="2">
        <v>321</v>
      </c>
      <c r="K912" s="2">
        <v>7.7</v>
      </c>
      <c r="L912" s="2" t="s">
        <v>76</v>
      </c>
      <c r="M912">
        <f t="shared" si="80"/>
        <v>3738.6666666666665</v>
      </c>
      <c r="N912">
        <f t="shared" si="79"/>
        <v>3717.2748256850168</v>
      </c>
      <c r="O912">
        <f t="shared" si="76"/>
        <v>321</v>
      </c>
      <c r="P912" s="6">
        <f t="shared" si="77"/>
        <v>7.675753228120516E-2</v>
      </c>
      <c r="Q912" s="6">
        <f t="shared" si="78"/>
        <v>0.11112510146221501</v>
      </c>
    </row>
    <row r="913" spans="1:17" x14ac:dyDescent="0.25">
      <c r="A913" s="3">
        <v>912</v>
      </c>
      <c r="B913" s="3" t="s">
        <v>53</v>
      </c>
      <c r="C913" s="3" t="s">
        <v>54</v>
      </c>
      <c r="D913" s="3" t="s">
        <v>102</v>
      </c>
      <c r="E913" s="3">
        <v>12</v>
      </c>
      <c r="F913" s="3">
        <v>2024</v>
      </c>
      <c r="G913" s="9" t="s">
        <v>101</v>
      </c>
      <c r="H913" s="3">
        <v>4856</v>
      </c>
      <c r="I913" s="3">
        <v>4866</v>
      </c>
      <c r="J913" s="3">
        <v>-10</v>
      </c>
      <c r="K913" s="3">
        <v>0.2</v>
      </c>
      <c r="L913" s="3" t="s">
        <v>76</v>
      </c>
      <c r="M913">
        <f t="shared" si="80"/>
        <v>3848</v>
      </c>
      <c r="N913">
        <f t="shared" si="79"/>
        <v>3856.6923779795115</v>
      </c>
      <c r="O913">
        <f t="shared" si="76"/>
        <v>10</v>
      </c>
      <c r="P913" s="6">
        <f t="shared" si="77"/>
        <v>2.0593080724876441E-3</v>
      </c>
      <c r="Q913" s="6">
        <f t="shared" si="78"/>
        <v>0.20578822529252233</v>
      </c>
    </row>
    <row r="914" spans="1:17" x14ac:dyDescent="0.25">
      <c r="A914" s="2">
        <v>913</v>
      </c>
      <c r="B914" s="2" t="s">
        <v>53</v>
      </c>
      <c r="C914" s="2" t="s">
        <v>54</v>
      </c>
      <c r="D914" s="2" t="s">
        <v>103</v>
      </c>
      <c r="E914" s="2">
        <v>1</v>
      </c>
      <c r="F914" s="2">
        <v>2023</v>
      </c>
      <c r="G914" s="8" t="s">
        <v>75</v>
      </c>
      <c r="H914" s="2">
        <v>3469</v>
      </c>
      <c r="I914" s="2">
        <v>3520</v>
      </c>
      <c r="J914" s="2">
        <v>-51</v>
      </c>
      <c r="K914" s="2">
        <v>1.5</v>
      </c>
      <c r="L914" s="2" t="s">
        <v>76</v>
      </c>
      <c r="M914">
        <f t="shared" si="80"/>
        <v>4191</v>
      </c>
      <c r="N914">
        <f t="shared" si="79"/>
        <v>4156.4846645856578</v>
      </c>
      <c r="O914">
        <f t="shared" si="76"/>
        <v>51</v>
      </c>
      <c r="P914" s="6">
        <f t="shared" si="77"/>
        <v>1.4701643124819834E-2</v>
      </c>
      <c r="Q914" s="6">
        <f t="shared" si="78"/>
        <v>0.19817949397107459</v>
      </c>
    </row>
    <row r="915" spans="1:17" x14ac:dyDescent="0.25">
      <c r="A915" s="3">
        <v>914</v>
      </c>
      <c r="B915" s="3" t="s">
        <v>53</v>
      </c>
      <c r="C915" s="3" t="s">
        <v>54</v>
      </c>
      <c r="D915" s="3" t="s">
        <v>103</v>
      </c>
      <c r="E915" s="3">
        <v>2</v>
      </c>
      <c r="F915" s="3">
        <v>2023</v>
      </c>
      <c r="G915" s="9" t="s">
        <v>77</v>
      </c>
      <c r="H915" s="3">
        <v>3025</v>
      </c>
      <c r="I915" s="3">
        <v>3106</v>
      </c>
      <c r="J915" s="3">
        <v>-81</v>
      </c>
      <c r="K915" s="3">
        <v>2.7</v>
      </c>
      <c r="L915" s="3" t="s">
        <v>83</v>
      </c>
      <c r="M915">
        <f t="shared" si="80"/>
        <v>4169</v>
      </c>
      <c r="N915">
        <f t="shared" si="79"/>
        <v>3950.2392652099606</v>
      </c>
      <c r="O915">
        <f t="shared" si="76"/>
        <v>81</v>
      </c>
      <c r="P915" s="6">
        <f t="shared" si="77"/>
        <v>2.6776859504132233E-2</v>
      </c>
      <c r="Q915" s="6">
        <f t="shared" si="78"/>
        <v>0.30586421990411922</v>
      </c>
    </row>
    <row r="916" spans="1:17" x14ac:dyDescent="0.25">
      <c r="A916" s="2">
        <v>915</v>
      </c>
      <c r="B916" s="2" t="s">
        <v>53</v>
      </c>
      <c r="C916" s="2" t="s">
        <v>54</v>
      </c>
      <c r="D916" s="2" t="s">
        <v>103</v>
      </c>
      <c r="E916" s="2">
        <v>3</v>
      </c>
      <c r="F916" s="2">
        <v>2023</v>
      </c>
      <c r="G916" s="8" t="s">
        <v>79</v>
      </c>
      <c r="H916" s="2">
        <v>4171</v>
      </c>
      <c r="I916" s="2">
        <v>4530</v>
      </c>
      <c r="J916" s="2">
        <v>-359</v>
      </c>
      <c r="K916" s="2">
        <v>8.6</v>
      </c>
      <c r="L916" s="2" t="s">
        <v>78</v>
      </c>
      <c r="M916">
        <f t="shared" si="80"/>
        <v>3783.3333333333335</v>
      </c>
      <c r="N916">
        <f t="shared" si="79"/>
        <v>3672.6674856469722</v>
      </c>
      <c r="O916">
        <f t="shared" si="76"/>
        <v>359</v>
      </c>
      <c r="P916" s="6">
        <f t="shared" si="77"/>
        <v>8.6070486693838405E-2</v>
      </c>
      <c r="Q916" s="6">
        <f t="shared" si="78"/>
        <v>0.11947554887389782</v>
      </c>
    </row>
    <row r="917" spans="1:17" x14ac:dyDescent="0.25">
      <c r="A917" s="3">
        <v>916</v>
      </c>
      <c r="B917" s="3" t="s">
        <v>53</v>
      </c>
      <c r="C917" s="3" t="s">
        <v>54</v>
      </c>
      <c r="D917" s="3" t="s">
        <v>103</v>
      </c>
      <c r="E917" s="3">
        <v>4</v>
      </c>
      <c r="F917" s="3">
        <v>2023</v>
      </c>
      <c r="G917" s="9" t="s">
        <v>80</v>
      </c>
      <c r="H917" s="3">
        <v>4042</v>
      </c>
      <c r="I917" s="3">
        <v>4033</v>
      </c>
      <c r="J917" s="3">
        <v>9</v>
      </c>
      <c r="K917" s="3">
        <v>0.2</v>
      </c>
      <c r="L917" s="3" t="s">
        <v>78</v>
      </c>
      <c r="M917">
        <f t="shared" si="80"/>
        <v>3555</v>
      </c>
      <c r="N917">
        <f t="shared" si="79"/>
        <v>3822.1672399528807</v>
      </c>
      <c r="O917">
        <f t="shared" si="76"/>
        <v>9</v>
      </c>
      <c r="P917" s="6">
        <f t="shared" si="77"/>
        <v>2.2266204849084609E-3</v>
      </c>
      <c r="Q917" s="6">
        <f t="shared" si="78"/>
        <v>5.4387125197209139E-2</v>
      </c>
    </row>
    <row r="918" spans="1:17" x14ac:dyDescent="0.25">
      <c r="A918" s="2">
        <v>917</v>
      </c>
      <c r="B918" s="2" t="s">
        <v>53</v>
      </c>
      <c r="C918" s="2" t="s">
        <v>54</v>
      </c>
      <c r="D918" s="2" t="s">
        <v>103</v>
      </c>
      <c r="E918" s="2">
        <v>5</v>
      </c>
      <c r="F918" s="2">
        <v>2023</v>
      </c>
      <c r="G918" s="8" t="s">
        <v>81</v>
      </c>
      <c r="H918" s="2">
        <v>3874</v>
      </c>
      <c r="I918" s="2">
        <v>4138</v>
      </c>
      <c r="J918" s="2">
        <v>-264</v>
      </c>
      <c r="K918" s="2">
        <v>6.8</v>
      </c>
      <c r="L918" s="2" t="s">
        <v>83</v>
      </c>
      <c r="M918">
        <f t="shared" si="80"/>
        <v>3746</v>
      </c>
      <c r="N918">
        <f t="shared" si="79"/>
        <v>3888.1170679670163</v>
      </c>
      <c r="O918">
        <f t="shared" si="76"/>
        <v>264</v>
      </c>
      <c r="P918" s="6">
        <f t="shared" si="77"/>
        <v>6.8146618482188948E-2</v>
      </c>
      <c r="Q918" s="6">
        <f t="shared" si="78"/>
        <v>3.6440547152855659E-3</v>
      </c>
    </row>
    <row r="919" spans="1:17" x14ac:dyDescent="0.25">
      <c r="A919" s="3">
        <v>918</v>
      </c>
      <c r="B919" s="3" t="s">
        <v>53</v>
      </c>
      <c r="C919" s="3" t="s">
        <v>54</v>
      </c>
      <c r="D919" s="3" t="s">
        <v>103</v>
      </c>
      <c r="E919" s="3">
        <v>6</v>
      </c>
      <c r="F919" s="3">
        <v>2023</v>
      </c>
      <c r="G919" s="9" t="s">
        <v>82</v>
      </c>
      <c r="H919" s="3">
        <v>3918</v>
      </c>
      <c r="I919" s="3">
        <v>3807</v>
      </c>
      <c r="J919" s="3">
        <v>111</v>
      </c>
      <c r="K919" s="3">
        <v>2.8</v>
      </c>
      <c r="L919" s="3" t="s">
        <v>78</v>
      </c>
      <c r="M919">
        <f t="shared" si="80"/>
        <v>4029</v>
      </c>
      <c r="N919">
        <f t="shared" si="79"/>
        <v>3883.8819475769114</v>
      </c>
      <c r="O919">
        <f t="shared" si="76"/>
        <v>111</v>
      </c>
      <c r="P919" s="6">
        <f t="shared" si="77"/>
        <v>2.8330781010719754E-2</v>
      </c>
      <c r="Q919" s="6">
        <f t="shared" si="78"/>
        <v>8.7080276730700755E-3</v>
      </c>
    </row>
    <row r="920" spans="1:17" x14ac:dyDescent="0.25">
      <c r="A920" s="2">
        <v>919</v>
      </c>
      <c r="B920" s="2" t="s">
        <v>53</v>
      </c>
      <c r="C920" s="2" t="s">
        <v>54</v>
      </c>
      <c r="D920" s="2" t="s">
        <v>103</v>
      </c>
      <c r="E920" s="2">
        <v>7</v>
      </c>
      <c r="F920" s="2">
        <v>2023</v>
      </c>
      <c r="G920" s="8" t="s">
        <v>84</v>
      </c>
      <c r="H920" s="2">
        <v>4293</v>
      </c>
      <c r="I920" s="2">
        <v>4031</v>
      </c>
      <c r="J920" s="2">
        <v>262</v>
      </c>
      <c r="K920" s="2">
        <v>6.1</v>
      </c>
      <c r="L920" s="2" t="s">
        <v>76</v>
      </c>
      <c r="M920">
        <f t="shared" si="80"/>
        <v>3944.6666666666665</v>
      </c>
      <c r="N920">
        <f t="shared" si="79"/>
        <v>3894.1173633038379</v>
      </c>
      <c r="O920">
        <f t="shared" si="76"/>
        <v>262</v>
      </c>
      <c r="P920" s="6">
        <f t="shared" si="77"/>
        <v>6.1029583042161661E-2</v>
      </c>
      <c r="Q920" s="6">
        <f t="shared" si="78"/>
        <v>9.2914660306583297E-2</v>
      </c>
    </row>
    <row r="921" spans="1:17" x14ac:dyDescent="0.25">
      <c r="A921" s="3">
        <v>920</v>
      </c>
      <c r="B921" s="3" t="s">
        <v>53</v>
      </c>
      <c r="C921" s="3" t="s">
        <v>54</v>
      </c>
      <c r="D921" s="3" t="s">
        <v>103</v>
      </c>
      <c r="E921" s="3">
        <v>8</v>
      </c>
      <c r="F921" s="3">
        <v>2023</v>
      </c>
      <c r="G921" s="9" t="s">
        <v>85</v>
      </c>
      <c r="H921" s="3">
        <v>4655</v>
      </c>
      <c r="I921" s="3">
        <v>4660</v>
      </c>
      <c r="J921" s="3">
        <v>-5</v>
      </c>
      <c r="K921" s="3">
        <v>0.1</v>
      </c>
      <c r="L921" s="3" t="s">
        <v>76</v>
      </c>
      <c r="M921">
        <f t="shared" si="80"/>
        <v>4028.3333333333335</v>
      </c>
      <c r="N921">
        <f t="shared" si="79"/>
        <v>4013.7821543126865</v>
      </c>
      <c r="O921">
        <f t="shared" si="76"/>
        <v>5</v>
      </c>
      <c r="P921" s="6">
        <f t="shared" si="77"/>
        <v>1.0741138560687433E-3</v>
      </c>
      <c r="Q921" s="6">
        <f t="shared" si="78"/>
        <v>0.13774819456225854</v>
      </c>
    </row>
    <row r="922" spans="1:17" x14ac:dyDescent="0.25">
      <c r="A922" s="2">
        <v>921</v>
      </c>
      <c r="B922" s="2" t="s">
        <v>53</v>
      </c>
      <c r="C922" s="2" t="s">
        <v>54</v>
      </c>
      <c r="D922" s="2" t="s">
        <v>103</v>
      </c>
      <c r="E922" s="2">
        <v>9</v>
      </c>
      <c r="F922" s="2">
        <v>2023</v>
      </c>
      <c r="G922" s="8" t="s">
        <v>86</v>
      </c>
      <c r="H922" s="2">
        <v>3902</v>
      </c>
      <c r="I922" s="2">
        <v>3895</v>
      </c>
      <c r="J922" s="2">
        <v>7</v>
      </c>
      <c r="K922" s="2">
        <v>0.2</v>
      </c>
      <c r="L922" s="2" t="s">
        <v>83</v>
      </c>
      <c r="M922">
        <f t="shared" si="80"/>
        <v>4288.666666666667</v>
      </c>
      <c r="N922">
        <f t="shared" si="79"/>
        <v>4206.1475080188802</v>
      </c>
      <c r="O922">
        <f t="shared" si="76"/>
        <v>7</v>
      </c>
      <c r="P922" s="6">
        <f t="shared" si="77"/>
        <v>1.7939518195797027E-3</v>
      </c>
      <c r="Q922" s="6">
        <f t="shared" si="78"/>
        <v>7.7946567918728907E-2</v>
      </c>
    </row>
    <row r="923" spans="1:17" x14ac:dyDescent="0.25">
      <c r="A923" s="3">
        <v>922</v>
      </c>
      <c r="B923" s="3" t="s">
        <v>53</v>
      </c>
      <c r="C923" s="3" t="s">
        <v>54</v>
      </c>
      <c r="D923" s="3" t="s">
        <v>103</v>
      </c>
      <c r="E923" s="3">
        <v>10</v>
      </c>
      <c r="F923" s="3">
        <v>2023</v>
      </c>
      <c r="G923" s="9" t="s">
        <v>87</v>
      </c>
      <c r="H923" s="3">
        <v>4747</v>
      </c>
      <c r="I923" s="3">
        <v>4736</v>
      </c>
      <c r="J923" s="3">
        <v>11</v>
      </c>
      <c r="K923" s="3">
        <v>0.2</v>
      </c>
      <c r="L923" s="3" t="s">
        <v>78</v>
      </c>
      <c r="M923">
        <f t="shared" si="80"/>
        <v>4283.333333333333</v>
      </c>
      <c r="N923">
        <f t="shared" si="79"/>
        <v>4114.9032556132161</v>
      </c>
      <c r="O923">
        <f t="shared" si="76"/>
        <v>11</v>
      </c>
      <c r="P923" s="6">
        <f t="shared" si="77"/>
        <v>2.3172530018959344E-3</v>
      </c>
      <c r="Q923" s="6">
        <f t="shared" si="78"/>
        <v>0.13315709803808384</v>
      </c>
    </row>
    <row r="924" spans="1:17" x14ac:dyDescent="0.25">
      <c r="A924" s="2">
        <v>923</v>
      </c>
      <c r="B924" s="2" t="s">
        <v>53</v>
      </c>
      <c r="C924" s="2" t="s">
        <v>54</v>
      </c>
      <c r="D924" s="2" t="s">
        <v>103</v>
      </c>
      <c r="E924" s="2">
        <v>11</v>
      </c>
      <c r="F924" s="2">
        <v>2023</v>
      </c>
      <c r="G924" s="8" t="s">
        <v>88</v>
      </c>
      <c r="H924" s="2">
        <v>5065</v>
      </c>
      <c r="I924" s="2">
        <v>5364</v>
      </c>
      <c r="J924" s="2">
        <v>-299</v>
      </c>
      <c r="K924" s="2">
        <v>5.9</v>
      </c>
      <c r="L924" s="2" t="s">
        <v>78</v>
      </c>
      <c r="M924">
        <f t="shared" si="80"/>
        <v>4434.666666666667</v>
      </c>
      <c r="N924">
        <f t="shared" si="79"/>
        <v>4304.5322789292513</v>
      </c>
      <c r="O924">
        <f t="shared" si="76"/>
        <v>299</v>
      </c>
      <c r="P924" s="6">
        <f t="shared" si="77"/>
        <v>5.9032576505429417E-2</v>
      </c>
      <c r="Q924" s="6">
        <f t="shared" si="78"/>
        <v>0.15014170208701849</v>
      </c>
    </row>
    <row r="925" spans="1:17" x14ac:dyDescent="0.25">
      <c r="A925" s="3">
        <v>924</v>
      </c>
      <c r="B925" s="3" t="s">
        <v>53</v>
      </c>
      <c r="C925" s="3" t="s">
        <v>54</v>
      </c>
      <c r="D925" s="3" t="s">
        <v>103</v>
      </c>
      <c r="E925" s="3">
        <v>12</v>
      </c>
      <c r="F925" s="3">
        <v>2023</v>
      </c>
      <c r="G925" s="9" t="s">
        <v>89</v>
      </c>
      <c r="H925" s="3">
        <v>4928</v>
      </c>
      <c r="I925" s="3">
        <v>4706</v>
      </c>
      <c r="J925" s="3">
        <v>222</v>
      </c>
      <c r="K925" s="3">
        <v>4.5</v>
      </c>
      <c r="L925" s="3" t="s">
        <v>83</v>
      </c>
      <c r="M925">
        <f t="shared" si="80"/>
        <v>4571.333333333333</v>
      </c>
      <c r="N925">
        <f t="shared" si="79"/>
        <v>4532.6725952504758</v>
      </c>
      <c r="O925">
        <f t="shared" si="76"/>
        <v>222</v>
      </c>
      <c r="P925" s="6">
        <f t="shared" si="77"/>
        <v>4.5048701298701296E-2</v>
      </c>
      <c r="Q925" s="6">
        <f t="shared" si="78"/>
        <v>8.0220658431315803E-2</v>
      </c>
    </row>
    <row r="926" spans="1:17" x14ac:dyDescent="0.25">
      <c r="A926" s="2">
        <v>925</v>
      </c>
      <c r="B926" s="2" t="s">
        <v>53</v>
      </c>
      <c r="C926" s="2" t="s">
        <v>54</v>
      </c>
      <c r="D926" s="2" t="s">
        <v>103</v>
      </c>
      <c r="E926" s="2">
        <v>1</v>
      </c>
      <c r="F926" s="2">
        <v>2024</v>
      </c>
      <c r="G926" s="8" t="s">
        <v>90</v>
      </c>
      <c r="H926" s="2">
        <v>3219</v>
      </c>
      <c r="I926" s="2">
        <v>3399</v>
      </c>
      <c r="J926" s="2">
        <v>-180</v>
      </c>
      <c r="K926" s="2">
        <v>5.6</v>
      </c>
      <c r="L926" s="2" t="s">
        <v>83</v>
      </c>
      <c r="M926">
        <f t="shared" si="80"/>
        <v>4913.333333333333</v>
      </c>
      <c r="N926">
        <f t="shared" si="79"/>
        <v>4651.2708166753328</v>
      </c>
      <c r="O926">
        <f t="shared" si="76"/>
        <v>180</v>
      </c>
      <c r="P926" s="6">
        <f t="shared" si="77"/>
        <v>5.591798695246971E-2</v>
      </c>
      <c r="Q926" s="6">
        <f t="shared" si="78"/>
        <v>0.44494278244030216</v>
      </c>
    </row>
    <row r="927" spans="1:17" x14ac:dyDescent="0.25">
      <c r="A927" s="3">
        <v>926</v>
      </c>
      <c r="B927" s="3" t="s">
        <v>53</v>
      </c>
      <c r="C927" s="3" t="s">
        <v>54</v>
      </c>
      <c r="D927" s="3" t="s">
        <v>103</v>
      </c>
      <c r="E927" s="3">
        <v>2</v>
      </c>
      <c r="F927" s="3">
        <v>2024</v>
      </c>
      <c r="G927" s="9" t="s">
        <v>91</v>
      </c>
      <c r="H927" s="3">
        <v>3462</v>
      </c>
      <c r="I927" s="3">
        <v>3646</v>
      </c>
      <c r="J927" s="3">
        <v>-184</v>
      </c>
      <c r="K927" s="3">
        <v>5.3</v>
      </c>
      <c r="L927" s="3" t="s">
        <v>83</v>
      </c>
      <c r="M927">
        <f t="shared" si="80"/>
        <v>4404</v>
      </c>
      <c r="N927">
        <f t="shared" si="79"/>
        <v>4221.5895716727327</v>
      </c>
      <c r="O927">
        <f t="shared" si="76"/>
        <v>184</v>
      </c>
      <c r="P927" s="6">
        <f t="shared" si="77"/>
        <v>5.3148469093009819E-2</v>
      </c>
      <c r="Q927" s="6">
        <f t="shared" si="78"/>
        <v>0.21940773300772176</v>
      </c>
    </row>
    <row r="928" spans="1:17" x14ac:dyDescent="0.25">
      <c r="A928" s="2">
        <v>927</v>
      </c>
      <c r="B928" s="2" t="s">
        <v>53</v>
      </c>
      <c r="C928" s="2" t="s">
        <v>54</v>
      </c>
      <c r="D928" s="2" t="s">
        <v>103</v>
      </c>
      <c r="E928" s="2">
        <v>3</v>
      </c>
      <c r="F928" s="2">
        <v>2024</v>
      </c>
      <c r="G928" s="8" t="s">
        <v>92</v>
      </c>
      <c r="H928" s="2">
        <v>3800</v>
      </c>
      <c r="I928" s="2">
        <v>3855</v>
      </c>
      <c r="J928" s="2">
        <v>-55</v>
      </c>
      <c r="K928" s="2">
        <v>1.4</v>
      </c>
      <c r="L928" s="2" t="s">
        <v>76</v>
      </c>
      <c r="M928">
        <f t="shared" si="80"/>
        <v>3869.6666666666665</v>
      </c>
      <c r="N928">
        <f t="shared" si="79"/>
        <v>3993.7127001709127</v>
      </c>
      <c r="O928">
        <f t="shared" si="76"/>
        <v>55</v>
      </c>
      <c r="P928" s="6">
        <f t="shared" si="77"/>
        <v>1.4473684210526316E-2</v>
      </c>
      <c r="Q928" s="6">
        <f t="shared" si="78"/>
        <v>5.0977026360766509E-2</v>
      </c>
    </row>
    <row r="929" spans="1:17" x14ac:dyDescent="0.25">
      <c r="A929" s="3">
        <v>928</v>
      </c>
      <c r="B929" s="3" t="s">
        <v>53</v>
      </c>
      <c r="C929" s="3" t="s">
        <v>54</v>
      </c>
      <c r="D929" s="3" t="s">
        <v>103</v>
      </c>
      <c r="E929" s="3">
        <v>4</v>
      </c>
      <c r="F929" s="3">
        <v>2024</v>
      </c>
      <c r="G929" s="9" t="s">
        <v>93</v>
      </c>
      <c r="H929" s="3">
        <v>4253</v>
      </c>
      <c r="I929" s="3">
        <v>4527</v>
      </c>
      <c r="J929" s="3">
        <v>-274</v>
      </c>
      <c r="K929" s="3">
        <v>6.4</v>
      </c>
      <c r="L929" s="3" t="s">
        <v>76</v>
      </c>
      <c r="M929">
        <f t="shared" si="80"/>
        <v>3493.6666666666665</v>
      </c>
      <c r="N929">
        <f t="shared" si="79"/>
        <v>3935.5988901196388</v>
      </c>
      <c r="O929">
        <f t="shared" si="76"/>
        <v>274</v>
      </c>
      <c r="P929" s="6">
        <f t="shared" si="77"/>
        <v>6.4425111685868799E-2</v>
      </c>
      <c r="Q929" s="6">
        <f t="shared" si="78"/>
        <v>7.4629934135989007E-2</v>
      </c>
    </row>
    <row r="930" spans="1:17" x14ac:dyDescent="0.25">
      <c r="A930" s="2">
        <v>929</v>
      </c>
      <c r="B930" s="2" t="s">
        <v>53</v>
      </c>
      <c r="C930" s="2" t="s">
        <v>54</v>
      </c>
      <c r="D930" s="2" t="s">
        <v>103</v>
      </c>
      <c r="E930" s="2">
        <v>5</v>
      </c>
      <c r="F930" s="2">
        <v>2024</v>
      </c>
      <c r="G930" s="8" t="s">
        <v>94</v>
      </c>
      <c r="H930" s="2">
        <v>4231</v>
      </c>
      <c r="I930" s="2">
        <v>4448</v>
      </c>
      <c r="J930" s="2">
        <v>-217</v>
      </c>
      <c r="K930" s="2">
        <v>5.0999999999999996</v>
      </c>
      <c r="L930" s="2" t="s">
        <v>83</v>
      </c>
      <c r="M930">
        <f t="shared" si="80"/>
        <v>3838.3333333333335</v>
      </c>
      <c r="N930">
        <f t="shared" si="79"/>
        <v>4030.8192230837467</v>
      </c>
      <c r="O930">
        <f t="shared" si="76"/>
        <v>217</v>
      </c>
      <c r="P930" s="6">
        <f t="shared" si="77"/>
        <v>5.1288111557551405E-2</v>
      </c>
      <c r="Q930" s="6">
        <f t="shared" si="78"/>
        <v>4.7312875659714794E-2</v>
      </c>
    </row>
    <row r="931" spans="1:17" x14ac:dyDescent="0.25">
      <c r="A931" s="3">
        <v>930</v>
      </c>
      <c r="B931" s="3" t="s">
        <v>53</v>
      </c>
      <c r="C931" s="3" t="s">
        <v>54</v>
      </c>
      <c r="D931" s="3" t="s">
        <v>103</v>
      </c>
      <c r="E931" s="3">
        <v>6</v>
      </c>
      <c r="F931" s="3">
        <v>2024</v>
      </c>
      <c r="G931" s="9" t="s">
        <v>95</v>
      </c>
      <c r="H931" s="3">
        <v>4327</v>
      </c>
      <c r="I931" s="3">
        <v>4083</v>
      </c>
      <c r="J931" s="3">
        <v>244</v>
      </c>
      <c r="K931" s="3">
        <v>5.6</v>
      </c>
      <c r="L931" s="3" t="s">
        <v>76</v>
      </c>
      <c r="M931">
        <f t="shared" si="80"/>
        <v>4094.6666666666665</v>
      </c>
      <c r="N931">
        <f t="shared" si="79"/>
        <v>4090.8734561586225</v>
      </c>
      <c r="O931">
        <f t="shared" si="76"/>
        <v>244</v>
      </c>
      <c r="P931" s="6">
        <f t="shared" si="77"/>
        <v>5.6390108620291195E-2</v>
      </c>
      <c r="Q931" s="6">
        <f t="shared" si="78"/>
        <v>5.4570497767824702E-2</v>
      </c>
    </row>
    <row r="932" spans="1:17" x14ac:dyDescent="0.25">
      <c r="A932" s="2">
        <v>931</v>
      </c>
      <c r="B932" s="2" t="s">
        <v>53</v>
      </c>
      <c r="C932" s="2" t="s">
        <v>54</v>
      </c>
      <c r="D932" s="2" t="s">
        <v>103</v>
      </c>
      <c r="E932" s="2">
        <v>7</v>
      </c>
      <c r="F932" s="2">
        <v>2024</v>
      </c>
      <c r="G932" s="8" t="s">
        <v>96</v>
      </c>
      <c r="H932" s="2">
        <v>3898</v>
      </c>
      <c r="I932" s="2">
        <v>4155</v>
      </c>
      <c r="J932" s="2">
        <v>-257</v>
      </c>
      <c r="K932" s="2">
        <v>6.6</v>
      </c>
      <c r="L932" s="2" t="s">
        <v>78</v>
      </c>
      <c r="M932">
        <f t="shared" si="80"/>
        <v>4270.333333333333</v>
      </c>
      <c r="N932">
        <f t="shared" si="79"/>
        <v>4161.7114193110356</v>
      </c>
      <c r="O932">
        <f t="shared" si="76"/>
        <v>257</v>
      </c>
      <c r="P932" s="6">
        <f t="shared" si="77"/>
        <v>6.5931246793227302E-2</v>
      </c>
      <c r="Q932" s="6">
        <f t="shared" si="78"/>
        <v>6.7653006493339038E-2</v>
      </c>
    </row>
    <row r="933" spans="1:17" x14ac:dyDescent="0.25">
      <c r="A933" s="3">
        <v>932</v>
      </c>
      <c r="B933" s="3" t="s">
        <v>53</v>
      </c>
      <c r="C933" s="3" t="s">
        <v>54</v>
      </c>
      <c r="D933" s="3" t="s">
        <v>103</v>
      </c>
      <c r="E933" s="3">
        <v>8</v>
      </c>
      <c r="F933" s="3">
        <v>2024</v>
      </c>
      <c r="G933" s="9" t="s">
        <v>97</v>
      </c>
      <c r="H933" s="3">
        <v>3986</v>
      </c>
      <c r="I933" s="3">
        <v>4384</v>
      </c>
      <c r="J933" s="3">
        <v>-398</v>
      </c>
      <c r="K933" s="3">
        <v>10</v>
      </c>
      <c r="L933" s="3" t="s">
        <v>76</v>
      </c>
      <c r="M933">
        <f t="shared" si="80"/>
        <v>4152</v>
      </c>
      <c r="N933">
        <f t="shared" si="79"/>
        <v>4082.5979935177247</v>
      </c>
      <c r="O933">
        <f t="shared" si="76"/>
        <v>398</v>
      </c>
      <c r="P933" s="6">
        <f t="shared" si="77"/>
        <v>9.9849473156046156E-2</v>
      </c>
      <c r="Q933" s="6">
        <f t="shared" si="78"/>
        <v>2.4234318494160741E-2</v>
      </c>
    </row>
    <row r="934" spans="1:17" x14ac:dyDescent="0.25">
      <c r="A934" s="2">
        <v>933</v>
      </c>
      <c r="B934" s="2" t="s">
        <v>53</v>
      </c>
      <c r="C934" s="2" t="s">
        <v>54</v>
      </c>
      <c r="D934" s="2" t="s">
        <v>103</v>
      </c>
      <c r="E934" s="2">
        <v>9</v>
      </c>
      <c r="F934" s="2">
        <v>2024</v>
      </c>
      <c r="G934" s="8" t="s">
        <v>98</v>
      </c>
      <c r="H934" s="2">
        <v>3762</v>
      </c>
      <c r="I934" s="2">
        <v>4034</v>
      </c>
      <c r="J934" s="2">
        <v>-272</v>
      </c>
      <c r="K934" s="2">
        <v>7.2</v>
      </c>
      <c r="L934" s="2" t="s">
        <v>78</v>
      </c>
      <c r="M934">
        <f t="shared" si="80"/>
        <v>4070.3333333333335</v>
      </c>
      <c r="N934">
        <f t="shared" si="79"/>
        <v>4053.618595462407</v>
      </c>
      <c r="O934">
        <f t="shared" si="76"/>
        <v>272</v>
      </c>
      <c r="P934" s="6">
        <f t="shared" si="77"/>
        <v>7.2301967038809145E-2</v>
      </c>
      <c r="Q934" s="6">
        <f t="shared" si="78"/>
        <v>7.7516904694951358E-2</v>
      </c>
    </row>
    <row r="935" spans="1:17" x14ac:dyDescent="0.25">
      <c r="A935" s="3">
        <v>934</v>
      </c>
      <c r="B935" s="3" t="s">
        <v>53</v>
      </c>
      <c r="C935" s="3" t="s">
        <v>54</v>
      </c>
      <c r="D935" s="3" t="s">
        <v>103</v>
      </c>
      <c r="E935" s="3">
        <v>10</v>
      </c>
      <c r="F935" s="3">
        <v>2024</v>
      </c>
      <c r="G935" s="9" t="s">
        <v>99</v>
      </c>
      <c r="H935" s="3">
        <v>4324</v>
      </c>
      <c r="I935" s="3">
        <v>4751</v>
      </c>
      <c r="J935" s="3">
        <v>-427</v>
      </c>
      <c r="K935" s="3">
        <v>9.9</v>
      </c>
      <c r="L935" s="3" t="s">
        <v>78</v>
      </c>
      <c r="M935">
        <f t="shared" si="80"/>
        <v>3882</v>
      </c>
      <c r="N935">
        <f t="shared" si="79"/>
        <v>3966.1330168236846</v>
      </c>
      <c r="O935">
        <f t="shared" si="76"/>
        <v>427</v>
      </c>
      <c r="P935" s="6">
        <f t="shared" si="77"/>
        <v>9.8751156336725252E-2</v>
      </c>
      <c r="Q935" s="6">
        <f t="shared" si="78"/>
        <v>8.2762947080553984E-2</v>
      </c>
    </row>
    <row r="936" spans="1:17" x14ac:dyDescent="0.25">
      <c r="A936" s="2">
        <v>935</v>
      </c>
      <c r="B936" s="2" t="s">
        <v>53</v>
      </c>
      <c r="C936" s="2" t="s">
        <v>54</v>
      </c>
      <c r="D936" s="2" t="s">
        <v>103</v>
      </c>
      <c r="E936" s="2">
        <v>11</v>
      </c>
      <c r="F936" s="2">
        <v>2024</v>
      </c>
      <c r="G936" s="8" t="s">
        <v>100</v>
      </c>
      <c r="H936" s="2">
        <v>4640</v>
      </c>
      <c r="I936" s="2">
        <v>4860</v>
      </c>
      <c r="J936" s="2">
        <v>-220</v>
      </c>
      <c r="K936" s="2">
        <v>4.7</v>
      </c>
      <c r="L936" s="2" t="s">
        <v>83</v>
      </c>
      <c r="M936">
        <f t="shared" si="80"/>
        <v>4024</v>
      </c>
      <c r="N936">
        <f t="shared" si="79"/>
        <v>4073.4931117765791</v>
      </c>
      <c r="O936">
        <f t="shared" si="76"/>
        <v>220</v>
      </c>
      <c r="P936" s="6">
        <f t="shared" si="77"/>
        <v>4.7413793103448273E-2</v>
      </c>
      <c r="Q936" s="6">
        <f t="shared" si="78"/>
        <v>0.12209200177228899</v>
      </c>
    </row>
    <row r="937" spans="1:17" x14ac:dyDescent="0.25">
      <c r="A937" s="3">
        <v>936</v>
      </c>
      <c r="B937" s="3" t="s">
        <v>53</v>
      </c>
      <c r="C937" s="3" t="s">
        <v>54</v>
      </c>
      <c r="D937" s="3" t="s">
        <v>103</v>
      </c>
      <c r="E937" s="3">
        <v>12</v>
      </c>
      <c r="F937" s="3">
        <v>2024</v>
      </c>
      <c r="G937" s="9" t="s">
        <v>101</v>
      </c>
      <c r="H937" s="3">
        <v>5001</v>
      </c>
      <c r="I937" s="3">
        <v>5211</v>
      </c>
      <c r="J937" s="3">
        <v>-210</v>
      </c>
      <c r="K937" s="3">
        <v>4.2</v>
      </c>
      <c r="L937" s="3" t="s">
        <v>83</v>
      </c>
      <c r="M937">
        <f t="shared" si="80"/>
        <v>4242</v>
      </c>
      <c r="N937">
        <f t="shared" si="79"/>
        <v>4243.4451782436054</v>
      </c>
      <c r="O937">
        <f t="shared" si="76"/>
        <v>210</v>
      </c>
      <c r="P937" s="6">
        <f t="shared" si="77"/>
        <v>4.1991601679664065E-2</v>
      </c>
      <c r="Q937" s="6">
        <f t="shared" si="78"/>
        <v>0.15148066821763539</v>
      </c>
    </row>
    <row r="938" spans="1:17" x14ac:dyDescent="0.25">
      <c r="A938" s="2">
        <v>937</v>
      </c>
      <c r="B938" s="2" t="s">
        <v>57</v>
      </c>
      <c r="C938" s="2" t="s">
        <v>58</v>
      </c>
      <c r="D938" s="2" t="s">
        <v>74</v>
      </c>
      <c r="E938" s="2">
        <v>1</v>
      </c>
      <c r="F938" s="2">
        <v>2023</v>
      </c>
      <c r="G938" s="8" t="s">
        <v>75</v>
      </c>
      <c r="H938" s="2">
        <v>3257</v>
      </c>
      <c r="I938" s="2">
        <v>3332</v>
      </c>
      <c r="J938" s="2">
        <v>-75</v>
      </c>
      <c r="K938" s="2">
        <v>2.2999999999999998</v>
      </c>
      <c r="L938" s="2" t="s">
        <v>78</v>
      </c>
      <c r="M938">
        <f t="shared" si="80"/>
        <v>4655</v>
      </c>
      <c r="N938">
        <f t="shared" si="79"/>
        <v>4470.7116247705235</v>
      </c>
      <c r="O938">
        <f t="shared" si="76"/>
        <v>75</v>
      </c>
      <c r="P938" s="6">
        <f t="shared" si="77"/>
        <v>2.302732575990175E-2</v>
      </c>
      <c r="Q938" s="6">
        <f t="shared" si="78"/>
        <v>0.37264710616227309</v>
      </c>
    </row>
    <row r="939" spans="1:17" x14ac:dyDescent="0.25">
      <c r="A939" s="3">
        <v>938</v>
      </c>
      <c r="B939" s="3" t="s">
        <v>57</v>
      </c>
      <c r="C939" s="3" t="s">
        <v>58</v>
      </c>
      <c r="D939" s="3" t="s">
        <v>74</v>
      </c>
      <c r="E939" s="3">
        <v>2</v>
      </c>
      <c r="F939" s="3">
        <v>2023</v>
      </c>
      <c r="G939" s="9" t="s">
        <v>77</v>
      </c>
      <c r="H939" s="3">
        <v>3438</v>
      </c>
      <c r="I939" s="3">
        <v>3648</v>
      </c>
      <c r="J939" s="3">
        <v>-210</v>
      </c>
      <c r="K939" s="3">
        <v>6.1</v>
      </c>
      <c r="L939" s="3" t="s">
        <v>83</v>
      </c>
      <c r="M939">
        <f t="shared" si="80"/>
        <v>4299.333333333333</v>
      </c>
      <c r="N939">
        <f t="shared" si="79"/>
        <v>4106.5981373393661</v>
      </c>
      <c r="O939">
        <f t="shared" si="76"/>
        <v>210</v>
      </c>
      <c r="P939" s="6">
        <f t="shared" si="77"/>
        <v>6.1082024432809773E-2</v>
      </c>
      <c r="Q939" s="6">
        <f t="shared" si="78"/>
        <v>0.19447298933663934</v>
      </c>
    </row>
    <row r="940" spans="1:17" x14ac:dyDescent="0.25">
      <c r="A940" s="2">
        <v>939</v>
      </c>
      <c r="B940" s="2" t="s">
        <v>57</v>
      </c>
      <c r="C940" s="2" t="s">
        <v>58</v>
      </c>
      <c r="D940" s="2" t="s">
        <v>74</v>
      </c>
      <c r="E940" s="2">
        <v>3</v>
      </c>
      <c r="F940" s="2">
        <v>2023</v>
      </c>
      <c r="G940" s="8" t="s">
        <v>79</v>
      </c>
      <c r="H940" s="2">
        <v>3572</v>
      </c>
      <c r="I940" s="2">
        <v>3415</v>
      </c>
      <c r="J940" s="2">
        <v>157</v>
      </c>
      <c r="K940" s="2">
        <v>4.4000000000000004</v>
      </c>
      <c r="L940" s="2" t="s">
        <v>83</v>
      </c>
      <c r="M940">
        <f t="shared" si="80"/>
        <v>3898.6666666666665</v>
      </c>
      <c r="N940">
        <f t="shared" si="79"/>
        <v>3906.0186961375557</v>
      </c>
      <c r="O940">
        <f t="shared" si="76"/>
        <v>157</v>
      </c>
      <c r="P940" s="6">
        <f t="shared" si="77"/>
        <v>4.3952967525195966E-2</v>
      </c>
      <c r="Q940" s="6">
        <f t="shared" si="78"/>
        <v>9.3510273274791625E-2</v>
      </c>
    </row>
    <row r="941" spans="1:17" x14ac:dyDescent="0.25">
      <c r="A941" s="3">
        <v>940</v>
      </c>
      <c r="B941" s="3" t="s">
        <v>57</v>
      </c>
      <c r="C941" s="3" t="s">
        <v>58</v>
      </c>
      <c r="D941" s="3" t="s">
        <v>74</v>
      </c>
      <c r="E941" s="3">
        <v>4</v>
      </c>
      <c r="F941" s="3">
        <v>2023</v>
      </c>
      <c r="G941" s="9" t="s">
        <v>80</v>
      </c>
      <c r="H941" s="3">
        <v>3589</v>
      </c>
      <c r="I941" s="3">
        <v>3932</v>
      </c>
      <c r="J941" s="3">
        <v>-343</v>
      </c>
      <c r="K941" s="3">
        <v>9.6</v>
      </c>
      <c r="L941" s="3" t="s">
        <v>76</v>
      </c>
      <c r="M941">
        <f t="shared" si="80"/>
        <v>3422.3333333333335</v>
      </c>
      <c r="N941">
        <f t="shared" si="79"/>
        <v>3805.8130872962888</v>
      </c>
      <c r="O941">
        <f t="shared" si="76"/>
        <v>343</v>
      </c>
      <c r="P941" s="6">
        <f t="shared" si="77"/>
        <v>9.5569796600724441E-2</v>
      </c>
      <c r="Q941" s="6">
        <f t="shared" si="78"/>
        <v>6.0410445053298636E-2</v>
      </c>
    </row>
    <row r="942" spans="1:17" x14ac:dyDescent="0.25">
      <c r="A942" s="2">
        <v>941</v>
      </c>
      <c r="B942" s="2" t="s">
        <v>57</v>
      </c>
      <c r="C942" s="2" t="s">
        <v>58</v>
      </c>
      <c r="D942" s="2" t="s">
        <v>74</v>
      </c>
      <c r="E942" s="2">
        <v>5</v>
      </c>
      <c r="F942" s="2">
        <v>2023</v>
      </c>
      <c r="G942" s="8" t="s">
        <v>81</v>
      </c>
      <c r="H942" s="2">
        <v>3887</v>
      </c>
      <c r="I942" s="2">
        <v>3706</v>
      </c>
      <c r="J942" s="2">
        <v>181</v>
      </c>
      <c r="K942" s="2">
        <v>4.7</v>
      </c>
      <c r="L942" s="2" t="s">
        <v>83</v>
      </c>
      <c r="M942">
        <f t="shared" si="80"/>
        <v>3533</v>
      </c>
      <c r="N942">
        <f t="shared" si="79"/>
        <v>3740.7691611074024</v>
      </c>
      <c r="O942">
        <f t="shared" si="76"/>
        <v>181</v>
      </c>
      <c r="P942" s="6">
        <f t="shared" si="77"/>
        <v>4.6565474659120143E-2</v>
      </c>
      <c r="Q942" s="6">
        <f t="shared" si="78"/>
        <v>3.7620488523951015E-2</v>
      </c>
    </row>
    <row r="943" spans="1:17" x14ac:dyDescent="0.25">
      <c r="A943" s="3">
        <v>942</v>
      </c>
      <c r="B943" s="3" t="s">
        <v>57</v>
      </c>
      <c r="C943" s="3" t="s">
        <v>58</v>
      </c>
      <c r="D943" s="3" t="s">
        <v>74</v>
      </c>
      <c r="E943" s="3">
        <v>6</v>
      </c>
      <c r="F943" s="3">
        <v>2023</v>
      </c>
      <c r="G943" s="9" t="s">
        <v>82</v>
      </c>
      <c r="H943" s="3">
        <v>4789</v>
      </c>
      <c r="I943" s="3">
        <v>4960</v>
      </c>
      <c r="J943" s="3">
        <v>-171</v>
      </c>
      <c r="K943" s="3">
        <v>3.6</v>
      </c>
      <c r="L943" s="3" t="s">
        <v>78</v>
      </c>
      <c r="M943">
        <f t="shared" si="80"/>
        <v>3682.6666666666665</v>
      </c>
      <c r="N943">
        <f t="shared" si="79"/>
        <v>3784.6384127751812</v>
      </c>
      <c r="O943">
        <f t="shared" si="76"/>
        <v>171</v>
      </c>
      <c r="P943" s="6">
        <f t="shared" si="77"/>
        <v>3.57068281478388E-2</v>
      </c>
      <c r="Q943" s="6">
        <f t="shared" si="78"/>
        <v>0.20972261165688427</v>
      </c>
    </row>
    <row r="944" spans="1:17" x14ac:dyDescent="0.25">
      <c r="A944" s="2">
        <v>943</v>
      </c>
      <c r="B944" s="2" t="s">
        <v>57</v>
      </c>
      <c r="C944" s="2" t="s">
        <v>58</v>
      </c>
      <c r="D944" s="2" t="s">
        <v>74</v>
      </c>
      <c r="E944" s="2">
        <v>7</v>
      </c>
      <c r="F944" s="2">
        <v>2023</v>
      </c>
      <c r="G944" s="8" t="s">
        <v>84</v>
      </c>
      <c r="H944" s="2">
        <v>3843</v>
      </c>
      <c r="I944" s="2">
        <v>4035</v>
      </c>
      <c r="J944" s="2">
        <v>-192</v>
      </c>
      <c r="K944" s="2">
        <v>5</v>
      </c>
      <c r="L944" s="2" t="s">
        <v>76</v>
      </c>
      <c r="M944">
        <f t="shared" si="80"/>
        <v>4088.3333333333335</v>
      </c>
      <c r="N944">
        <f t="shared" si="79"/>
        <v>4085.9468889426271</v>
      </c>
      <c r="O944">
        <f t="shared" si="76"/>
        <v>192</v>
      </c>
      <c r="P944" s="6">
        <f t="shared" si="77"/>
        <v>4.9960967993754879E-2</v>
      </c>
      <c r="Q944" s="6">
        <f t="shared" si="78"/>
        <v>6.3218029909608925E-2</v>
      </c>
    </row>
    <row r="945" spans="1:17" x14ac:dyDescent="0.25">
      <c r="A945" s="3">
        <v>944</v>
      </c>
      <c r="B945" s="3" t="s">
        <v>57</v>
      </c>
      <c r="C945" s="3" t="s">
        <v>58</v>
      </c>
      <c r="D945" s="3" t="s">
        <v>74</v>
      </c>
      <c r="E945" s="3">
        <v>8</v>
      </c>
      <c r="F945" s="3">
        <v>2023</v>
      </c>
      <c r="G945" s="9" t="s">
        <v>85</v>
      </c>
      <c r="H945" s="3">
        <v>4506</v>
      </c>
      <c r="I945" s="3">
        <v>4949</v>
      </c>
      <c r="J945" s="3">
        <v>-443</v>
      </c>
      <c r="K945" s="3">
        <v>9.8000000000000007</v>
      </c>
      <c r="L945" s="3" t="s">
        <v>83</v>
      </c>
      <c r="M945">
        <f t="shared" si="80"/>
        <v>4173</v>
      </c>
      <c r="N945">
        <f t="shared" si="79"/>
        <v>4013.0628222598389</v>
      </c>
      <c r="O945">
        <f t="shared" si="76"/>
        <v>443</v>
      </c>
      <c r="P945" s="6">
        <f t="shared" si="77"/>
        <v>9.8313359964491795E-2</v>
      </c>
      <c r="Q945" s="6">
        <f t="shared" si="78"/>
        <v>0.109395734074603</v>
      </c>
    </row>
    <row r="946" spans="1:17" x14ac:dyDescent="0.25">
      <c r="A946" s="2">
        <v>945</v>
      </c>
      <c r="B946" s="2" t="s">
        <v>57</v>
      </c>
      <c r="C946" s="2" t="s">
        <v>58</v>
      </c>
      <c r="D946" s="2" t="s">
        <v>74</v>
      </c>
      <c r="E946" s="2">
        <v>9</v>
      </c>
      <c r="F946" s="2">
        <v>2023</v>
      </c>
      <c r="G946" s="8" t="s">
        <v>86</v>
      </c>
      <c r="H946" s="2">
        <v>3550</v>
      </c>
      <c r="I946" s="2">
        <v>3809</v>
      </c>
      <c r="J946" s="2">
        <v>-259</v>
      </c>
      <c r="K946" s="2">
        <v>7.3</v>
      </c>
      <c r="L946" s="2" t="s">
        <v>78</v>
      </c>
      <c r="M946">
        <f t="shared" si="80"/>
        <v>4379.333333333333</v>
      </c>
      <c r="N946">
        <f t="shared" si="79"/>
        <v>4160.9439755818867</v>
      </c>
      <c r="O946">
        <f t="shared" si="76"/>
        <v>259</v>
      </c>
      <c r="P946" s="6">
        <f t="shared" si="77"/>
        <v>7.2957746478873237E-2</v>
      </c>
      <c r="Q946" s="6">
        <f t="shared" si="78"/>
        <v>0.17209689453010893</v>
      </c>
    </row>
    <row r="947" spans="1:17" x14ac:dyDescent="0.25">
      <c r="A947" s="3">
        <v>946</v>
      </c>
      <c r="B947" s="3" t="s">
        <v>57</v>
      </c>
      <c r="C947" s="3" t="s">
        <v>58</v>
      </c>
      <c r="D947" s="3" t="s">
        <v>74</v>
      </c>
      <c r="E947" s="3">
        <v>10</v>
      </c>
      <c r="F947" s="3">
        <v>2023</v>
      </c>
      <c r="G947" s="9" t="s">
        <v>87</v>
      </c>
      <c r="H947" s="3">
        <v>3925</v>
      </c>
      <c r="I947" s="3">
        <v>3785</v>
      </c>
      <c r="J947" s="3">
        <v>140</v>
      </c>
      <c r="K947" s="3">
        <v>3.6</v>
      </c>
      <c r="L947" s="3" t="s">
        <v>78</v>
      </c>
      <c r="M947">
        <f t="shared" si="80"/>
        <v>3966.3333333333335</v>
      </c>
      <c r="N947">
        <f t="shared" si="79"/>
        <v>3977.6607829073205</v>
      </c>
      <c r="O947">
        <f t="shared" si="76"/>
        <v>140</v>
      </c>
      <c r="P947" s="6">
        <f t="shared" si="77"/>
        <v>3.5668789808917196E-2</v>
      </c>
      <c r="Q947" s="6">
        <f t="shared" si="78"/>
        <v>1.3416759976387384E-2</v>
      </c>
    </row>
    <row r="948" spans="1:17" x14ac:dyDescent="0.25">
      <c r="A948" s="2">
        <v>947</v>
      </c>
      <c r="B948" s="2" t="s">
        <v>57</v>
      </c>
      <c r="C948" s="2" t="s">
        <v>58</v>
      </c>
      <c r="D948" s="2" t="s">
        <v>74</v>
      </c>
      <c r="E948" s="2">
        <v>11</v>
      </c>
      <c r="F948" s="2">
        <v>2023</v>
      </c>
      <c r="G948" s="8" t="s">
        <v>88</v>
      </c>
      <c r="H948" s="2">
        <v>5180</v>
      </c>
      <c r="I948" s="2">
        <v>5362</v>
      </c>
      <c r="J948" s="2">
        <v>-182</v>
      </c>
      <c r="K948" s="2">
        <v>3.5</v>
      </c>
      <c r="L948" s="2" t="s">
        <v>76</v>
      </c>
      <c r="M948">
        <f t="shared" si="80"/>
        <v>3993.6666666666665</v>
      </c>
      <c r="N948">
        <f t="shared" si="79"/>
        <v>3961.8625480351243</v>
      </c>
      <c r="O948">
        <f t="shared" si="76"/>
        <v>182</v>
      </c>
      <c r="P948" s="6">
        <f t="shared" si="77"/>
        <v>3.5135135135135137E-2</v>
      </c>
      <c r="Q948" s="6">
        <f t="shared" si="78"/>
        <v>0.23516167026348953</v>
      </c>
    </row>
    <row r="949" spans="1:17" x14ac:dyDescent="0.25">
      <c r="A949" s="3">
        <v>948</v>
      </c>
      <c r="B949" s="3" t="s">
        <v>57</v>
      </c>
      <c r="C949" s="3" t="s">
        <v>58</v>
      </c>
      <c r="D949" s="3" t="s">
        <v>74</v>
      </c>
      <c r="E949" s="3">
        <v>12</v>
      </c>
      <c r="F949" s="3">
        <v>2023</v>
      </c>
      <c r="G949" s="9" t="s">
        <v>89</v>
      </c>
      <c r="H949" s="3">
        <v>4634</v>
      </c>
      <c r="I949" s="3">
        <v>4756</v>
      </c>
      <c r="J949" s="3">
        <v>-122</v>
      </c>
      <c r="K949" s="3">
        <v>2.6</v>
      </c>
      <c r="L949" s="3" t="s">
        <v>83</v>
      </c>
      <c r="M949">
        <f t="shared" si="80"/>
        <v>4218.333333333333</v>
      </c>
      <c r="N949">
        <f t="shared" si="79"/>
        <v>4327.3037836245867</v>
      </c>
      <c r="O949">
        <f t="shared" si="76"/>
        <v>122</v>
      </c>
      <c r="P949" s="6">
        <f t="shared" si="77"/>
        <v>2.6327147173068624E-2</v>
      </c>
      <c r="Q949" s="6">
        <f t="shared" si="78"/>
        <v>6.618390513064594E-2</v>
      </c>
    </row>
    <row r="950" spans="1:17" x14ac:dyDescent="0.25">
      <c r="A950" s="2">
        <v>949</v>
      </c>
      <c r="B950" s="2" t="s">
        <v>57</v>
      </c>
      <c r="C950" s="2" t="s">
        <v>58</v>
      </c>
      <c r="D950" s="2" t="s">
        <v>74</v>
      </c>
      <c r="E950" s="2">
        <v>1</v>
      </c>
      <c r="F950" s="2">
        <v>2024</v>
      </c>
      <c r="G950" s="8" t="s">
        <v>90</v>
      </c>
      <c r="H950" s="2">
        <v>3246</v>
      </c>
      <c r="I950" s="2">
        <v>3214</v>
      </c>
      <c r="J950" s="2">
        <v>32</v>
      </c>
      <c r="K950" s="2">
        <v>1</v>
      </c>
      <c r="L950" s="2" t="s">
        <v>83</v>
      </c>
      <c r="M950">
        <f t="shared" si="80"/>
        <v>4579.666666666667</v>
      </c>
      <c r="N950">
        <f t="shared" si="79"/>
        <v>4419.3126485372104</v>
      </c>
      <c r="O950">
        <f t="shared" si="76"/>
        <v>32</v>
      </c>
      <c r="P950" s="6">
        <f t="shared" si="77"/>
        <v>9.8582871226124465E-3</v>
      </c>
      <c r="Q950" s="6">
        <f t="shared" si="78"/>
        <v>0.36146415543352139</v>
      </c>
    </row>
    <row r="951" spans="1:17" x14ac:dyDescent="0.25">
      <c r="A951" s="3">
        <v>950</v>
      </c>
      <c r="B951" s="3" t="s">
        <v>57</v>
      </c>
      <c r="C951" s="3" t="s">
        <v>58</v>
      </c>
      <c r="D951" s="3" t="s">
        <v>74</v>
      </c>
      <c r="E951" s="3">
        <v>2</v>
      </c>
      <c r="F951" s="3">
        <v>2024</v>
      </c>
      <c r="G951" s="9" t="s">
        <v>91</v>
      </c>
      <c r="H951" s="3">
        <v>3424</v>
      </c>
      <c r="I951" s="3">
        <v>3608</v>
      </c>
      <c r="J951" s="3">
        <v>-184</v>
      </c>
      <c r="K951" s="3">
        <v>5.4</v>
      </c>
      <c r="L951" s="3" t="s">
        <v>76</v>
      </c>
      <c r="M951">
        <f t="shared" si="80"/>
        <v>4353.333333333333</v>
      </c>
      <c r="N951">
        <f t="shared" si="79"/>
        <v>4067.3188539760467</v>
      </c>
      <c r="O951">
        <f t="shared" si="76"/>
        <v>184</v>
      </c>
      <c r="P951" s="6">
        <f t="shared" si="77"/>
        <v>5.3738317757009345E-2</v>
      </c>
      <c r="Q951" s="6">
        <f t="shared" si="78"/>
        <v>0.18788517931543422</v>
      </c>
    </row>
    <row r="952" spans="1:17" x14ac:dyDescent="0.25">
      <c r="A952" s="2">
        <v>951</v>
      </c>
      <c r="B952" s="2" t="s">
        <v>57</v>
      </c>
      <c r="C952" s="2" t="s">
        <v>58</v>
      </c>
      <c r="D952" s="2" t="s">
        <v>74</v>
      </c>
      <c r="E952" s="2">
        <v>3</v>
      </c>
      <c r="F952" s="2">
        <v>2024</v>
      </c>
      <c r="G952" s="8" t="s">
        <v>92</v>
      </c>
      <c r="H952" s="2">
        <v>3718</v>
      </c>
      <c r="I952" s="2">
        <v>3553</v>
      </c>
      <c r="J952" s="2">
        <v>165</v>
      </c>
      <c r="K952" s="2">
        <v>4.4000000000000004</v>
      </c>
      <c r="L952" s="2" t="s">
        <v>76</v>
      </c>
      <c r="M952">
        <f t="shared" si="80"/>
        <v>3768</v>
      </c>
      <c r="N952">
        <f t="shared" si="79"/>
        <v>3874.3231977832329</v>
      </c>
      <c r="O952">
        <f t="shared" si="76"/>
        <v>165</v>
      </c>
      <c r="P952" s="6">
        <f t="shared" si="77"/>
        <v>4.4378698224852069E-2</v>
      </c>
      <c r="Q952" s="6">
        <f t="shared" si="78"/>
        <v>4.2044969817975494E-2</v>
      </c>
    </row>
    <row r="953" spans="1:17" x14ac:dyDescent="0.25">
      <c r="A953" s="3">
        <v>952</v>
      </c>
      <c r="B953" s="3" t="s">
        <v>57</v>
      </c>
      <c r="C953" s="3" t="s">
        <v>58</v>
      </c>
      <c r="D953" s="3" t="s">
        <v>74</v>
      </c>
      <c r="E953" s="3">
        <v>4</v>
      </c>
      <c r="F953" s="3">
        <v>2024</v>
      </c>
      <c r="G953" s="9" t="s">
        <v>93</v>
      </c>
      <c r="H953" s="3">
        <v>3857</v>
      </c>
      <c r="I953" s="3">
        <v>3847</v>
      </c>
      <c r="J953" s="3">
        <v>10</v>
      </c>
      <c r="K953" s="3">
        <v>0.3</v>
      </c>
      <c r="L953" s="3" t="s">
        <v>83</v>
      </c>
      <c r="M953">
        <f t="shared" si="80"/>
        <v>3462.6666666666665</v>
      </c>
      <c r="N953">
        <f t="shared" si="79"/>
        <v>3827.4262384482627</v>
      </c>
      <c r="O953">
        <f t="shared" si="76"/>
        <v>10</v>
      </c>
      <c r="P953" s="6">
        <f t="shared" si="77"/>
        <v>2.5926886180969665E-3</v>
      </c>
      <c r="Q953" s="6">
        <f t="shared" si="78"/>
        <v>7.6675554969503068E-3</v>
      </c>
    </row>
    <row r="954" spans="1:17" x14ac:dyDescent="0.25">
      <c r="A954" s="2">
        <v>953</v>
      </c>
      <c r="B954" s="2" t="s">
        <v>57</v>
      </c>
      <c r="C954" s="2" t="s">
        <v>58</v>
      </c>
      <c r="D954" s="2" t="s">
        <v>74</v>
      </c>
      <c r="E954" s="2">
        <v>5</v>
      </c>
      <c r="F954" s="2">
        <v>2024</v>
      </c>
      <c r="G954" s="8" t="s">
        <v>94</v>
      </c>
      <c r="H954" s="2">
        <v>3606</v>
      </c>
      <c r="I954" s="2">
        <v>3803</v>
      </c>
      <c r="J954" s="2">
        <v>-197</v>
      </c>
      <c r="K954" s="2">
        <v>5.5</v>
      </c>
      <c r="L954" s="2" t="s">
        <v>83</v>
      </c>
      <c r="M954">
        <f t="shared" si="80"/>
        <v>3666.3333333333335</v>
      </c>
      <c r="N954">
        <f t="shared" si="79"/>
        <v>3836.2983669137834</v>
      </c>
      <c r="O954">
        <f t="shared" si="76"/>
        <v>197</v>
      </c>
      <c r="P954" s="6">
        <f t="shared" si="77"/>
        <v>5.4631170271769273E-2</v>
      </c>
      <c r="Q954" s="6">
        <f t="shared" si="78"/>
        <v>6.3865326376534498E-2</v>
      </c>
    </row>
    <row r="955" spans="1:17" x14ac:dyDescent="0.25">
      <c r="A955" s="3">
        <v>954</v>
      </c>
      <c r="B955" s="3" t="s">
        <v>57</v>
      </c>
      <c r="C955" s="3" t="s">
        <v>58</v>
      </c>
      <c r="D955" s="3" t="s">
        <v>74</v>
      </c>
      <c r="E955" s="3">
        <v>6</v>
      </c>
      <c r="F955" s="3">
        <v>2024</v>
      </c>
      <c r="G955" s="9" t="s">
        <v>95</v>
      </c>
      <c r="H955" s="3">
        <v>3871</v>
      </c>
      <c r="I955" s="3">
        <v>4236</v>
      </c>
      <c r="J955" s="3">
        <v>-365</v>
      </c>
      <c r="K955" s="3">
        <v>9.4</v>
      </c>
      <c r="L955" s="3" t="s">
        <v>83</v>
      </c>
      <c r="M955">
        <f t="shared" si="80"/>
        <v>3727</v>
      </c>
      <c r="N955">
        <f t="shared" si="79"/>
        <v>3767.2088568396484</v>
      </c>
      <c r="O955">
        <f t="shared" si="76"/>
        <v>365</v>
      </c>
      <c r="P955" s="6">
        <f t="shared" si="77"/>
        <v>9.4290880909325761E-2</v>
      </c>
      <c r="Q955" s="6">
        <f t="shared" si="78"/>
        <v>2.6812488545686273E-2</v>
      </c>
    </row>
    <row r="956" spans="1:17" x14ac:dyDescent="0.25">
      <c r="A956" s="2">
        <v>955</v>
      </c>
      <c r="B956" s="2" t="s">
        <v>57</v>
      </c>
      <c r="C956" s="2" t="s">
        <v>58</v>
      </c>
      <c r="D956" s="2" t="s">
        <v>74</v>
      </c>
      <c r="E956" s="2">
        <v>7</v>
      </c>
      <c r="F956" s="2">
        <v>2024</v>
      </c>
      <c r="G956" s="8" t="s">
        <v>96</v>
      </c>
      <c r="H956" s="2">
        <v>4377</v>
      </c>
      <c r="I956" s="2">
        <v>4252</v>
      </c>
      <c r="J956" s="2">
        <v>125</v>
      </c>
      <c r="K956" s="2">
        <v>2.9</v>
      </c>
      <c r="L956" s="2" t="s">
        <v>78</v>
      </c>
      <c r="M956">
        <f t="shared" si="80"/>
        <v>3778</v>
      </c>
      <c r="N956">
        <f t="shared" si="79"/>
        <v>3798.3461997877539</v>
      </c>
      <c r="O956">
        <f t="shared" si="76"/>
        <v>125</v>
      </c>
      <c r="P956" s="6">
        <f t="shared" si="77"/>
        <v>2.8558373315055976E-2</v>
      </c>
      <c r="Q956" s="6">
        <f t="shared" si="78"/>
        <v>0.13220328997309713</v>
      </c>
    </row>
    <row r="957" spans="1:17" x14ac:dyDescent="0.25">
      <c r="A957" s="3">
        <v>956</v>
      </c>
      <c r="B957" s="3" t="s">
        <v>57</v>
      </c>
      <c r="C957" s="3" t="s">
        <v>58</v>
      </c>
      <c r="D957" s="3" t="s">
        <v>74</v>
      </c>
      <c r="E957" s="3">
        <v>8</v>
      </c>
      <c r="F957" s="3">
        <v>2024</v>
      </c>
      <c r="G957" s="9" t="s">
        <v>97</v>
      </c>
      <c r="H957" s="3">
        <v>4385</v>
      </c>
      <c r="I957" s="3">
        <v>4295</v>
      </c>
      <c r="J957" s="3">
        <v>90</v>
      </c>
      <c r="K957" s="3">
        <v>2.1</v>
      </c>
      <c r="L957" s="3" t="s">
        <v>76</v>
      </c>
      <c r="M957">
        <f t="shared" si="80"/>
        <v>3951.3333333333335</v>
      </c>
      <c r="N957">
        <f t="shared" si="79"/>
        <v>3971.9423398514273</v>
      </c>
      <c r="O957">
        <f t="shared" si="76"/>
        <v>90</v>
      </c>
      <c r="P957" s="6">
        <f t="shared" si="77"/>
        <v>2.0524515393386546E-2</v>
      </c>
      <c r="Q957" s="6">
        <f t="shared" si="78"/>
        <v>9.4197870045284543E-2</v>
      </c>
    </row>
    <row r="958" spans="1:17" x14ac:dyDescent="0.25">
      <c r="A958" s="2">
        <v>957</v>
      </c>
      <c r="B958" s="2" t="s">
        <v>57</v>
      </c>
      <c r="C958" s="2" t="s">
        <v>58</v>
      </c>
      <c r="D958" s="2" t="s">
        <v>74</v>
      </c>
      <c r="E958" s="2">
        <v>9</v>
      </c>
      <c r="F958" s="2">
        <v>2024</v>
      </c>
      <c r="G958" s="8" t="s">
        <v>98</v>
      </c>
      <c r="H958" s="2">
        <v>4204</v>
      </c>
      <c r="I958" s="2">
        <v>4199</v>
      </c>
      <c r="J958" s="2">
        <v>5</v>
      </c>
      <c r="K958" s="2">
        <v>0.1</v>
      </c>
      <c r="L958" s="2" t="s">
        <v>76</v>
      </c>
      <c r="M958">
        <f t="shared" si="80"/>
        <v>4211</v>
      </c>
      <c r="N958">
        <f t="shared" si="79"/>
        <v>4095.8596378959987</v>
      </c>
      <c r="O958">
        <f t="shared" si="76"/>
        <v>5</v>
      </c>
      <c r="P958" s="6">
        <f t="shared" si="77"/>
        <v>1.1893434823977164E-3</v>
      </c>
      <c r="Q958" s="6">
        <f t="shared" si="78"/>
        <v>2.5723206970504585E-2</v>
      </c>
    </row>
    <row r="959" spans="1:17" x14ac:dyDescent="0.25">
      <c r="A959" s="3">
        <v>958</v>
      </c>
      <c r="B959" s="3" t="s">
        <v>57</v>
      </c>
      <c r="C959" s="3" t="s">
        <v>58</v>
      </c>
      <c r="D959" s="3" t="s">
        <v>74</v>
      </c>
      <c r="E959" s="3">
        <v>10</v>
      </c>
      <c r="F959" s="3">
        <v>2024</v>
      </c>
      <c r="G959" s="9" t="s">
        <v>99</v>
      </c>
      <c r="H959" s="3">
        <v>4628</v>
      </c>
      <c r="I959" s="3">
        <v>4477</v>
      </c>
      <c r="J959" s="3">
        <v>151</v>
      </c>
      <c r="K959" s="3">
        <v>3.3</v>
      </c>
      <c r="L959" s="3" t="s">
        <v>83</v>
      </c>
      <c r="M959">
        <f t="shared" si="80"/>
        <v>4322</v>
      </c>
      <c r="N959">
        <f t="shared" si="79"/>
        <v>4128.3017465271987</v>
      </c>
      <c r="O959">
        <f t="shared" si="76"/>
        <v>151</v>
      </c>
      <c r="P959" s="6">
        <f t="shared" si="77"/>
        <v>3.2627484874675886E-2</v>
      </c>
      <c r="Q959" s="6">
        <f t="shared" si="78"/>
        <v>0.10797282918599856</v>
      </c>
    </row>
    <row r="960" spans="1:17" x14ac:dyDescent="0.25">
      <c r="A960" s="2">
        <v>959</v>
      </c>
      <c r="B960" s="2" t="s">
        <v>57</v>
      </c>
      <c r="C960" s="2" t="s">
        <v>58</v>
      </c>
      <c r="D960" s="2" t="s">
        <v>74</v>
      </c>
      <c r="E960" s="2">
        <v>11</v>
      </c>
      <c r="F960" s="2">
        <v>2024</v>
      </c>
      <c r="G960" s="8" t="s">
        <v>100</v>
      </c>
      <c r="H960" s="2">
        <v>4442</v>
      </c>
      <c r="I960" s="2">
        <v>4755</v>
      </c>
      <c r="J960" s="2">
        <v>-313</v>
      </c>
      <c r="K960" s="2">
        <v>7</v>
      </c>
      <c r="L960" s="2" t="s">
        <v>76</v>
      </c>
      <c r="M960">
        <f t="shared" si="80"/>
        <v>4405.666666666667</v>
      </c>
      <c r="N960">
        <f t="shared" si="79"/>
        <v>4278.2112225690389</v>
      </c>
      <c r="O960">
        <f t="shared" si="76"/>
        <v>313</v>
      </c>
      <c r="P960" s="6">
        <f t="shared" si="77"/>
        <v>7.0463755065285905E-2</v>
      </c>
      <c r="Q960" s="6">
        <f t="shared" si="78"/>
        <v>3.6872754937181694E-2</v>
      </c>
    </row>
    <row r="961" spans="1:17" x14ac:dyDescent="0.25">
      <c r="A961" s="3">
        <v>960</v>
      </c>
      <c r="B961" s="3" t="s">
        <v>57</v>
      </c>
      <c r="C961" s="3" t="s">
        <v>58</v>
      </c>
      <c r="D961" s="3" t="s">
        <v>74</v>
      </c>
      <c r="E961" s="3">
        <v>12</v>
      </c>
      <c r="F961" s="3">
        <v>2024</v>
      </c>
      <c r="G961" s="9" t="s">
        <v>101</v>
      </c>
      <c r="H961" s="3">
        <v>5549</v>
      </c>
      <c r="I961" s="3">
        <v>5840</v>
      </c>
      <c r="J961" s="3">
        <v>-291</v>
      </c>
      <c r="K961" s="3">
        <v>5.2</v>
      </c>
      <c r="L961" s="3" t="s">
        <v>78</v>
      </c>
      <c r="M961">
        <f t="shared" si="80"/>
        <v>4424.666666666667</v>
      </c>
      <c r="N961">
        <f t="shared" si="79"/>
        <v>4327.3478557983271</v>
      </c>
      <c r="O961">
        <f t="shared" si="76"/>
        <v>291</v>
      </c>
      <c r="P961" s="6">
        <f t="shared" si="77"/>
        <v>5.2441881420075692E-2</v>
      </c>
      <c r="Q961" s="6">
        <f t="shared" si="78"/>
        <v>0.22015717141857502</v>
      </c>
    </row>
    <row r="962" spans="1:17" x14ac:dyDescent="0.25">
      <c r="A962" s="2">
        <v>961</v>
      </c>
      <c r="B962" s="2" t="s">
        <v>57</v>
      </c>
      <c r="C962" s="2" t="s">
        <v>58</v>
      </c>
      <c r="D962" s="2" t="s">
        <v>102</v>
      </c>
      <c r="E962" s="2">
        <v>1</v>
      </c>
      <c r="F962" s="2">
        <v>2023</v>
      </c>
      <c r="G962" s="8" t="s">
        <v>75</v>
      </c>
      <c r="H962" s="2">
        <v>2546</v>
      </c>
      <c r="I962" s="2">
        <v>2690</v>
      </c>
      <c r="J962" s="2">
        <v>-144</v>
      </c>
      <c r="K962" s="2">
        <v>5.7</v>
      </c>
      <c r="L962" s="2" t="s">
        <v>76</v>
      </c>
      <c r="M962">
        <f t="shared" si="80"/>
        <v>4873</v>
      </c>
      <c r="N962">
        <f t="shared" si="79"/>
        <v>4693.8434990588285</v>
      </c>
      <c r="O962">
        <f t="shared" si="76"/>
        <v>144</v>
      </c>
      <c r="P962" s="6">
        <f t="shared" si="77"/>
        <v>5.6559308719560095E-2</v>
      </c>
      <c r="Q962" s="6">
        <f t="shared" si="78"/>
        <v>0.84361488572616983</v>
      </c>
    </row>
    <row r="963" spans="1:17" x14ac:dyDescent="0.25">
      <c r="A963" s="3">
        <v>962</v>
      </c>
      <c r="B963" s="3" t="s">
        <v>57</v>
      </c>
      <c r="C963" s="3" t="s">
        <v>58</v>
      </c>
      <c r="D963" s="3" t="s">
        <v>102</v>
      </c>
      <c r="E963" s="3">
        <v>2</v>
      </c>
      <c r="F963" s="3">
        <v>2023</v>
      </c>
      <c r="G963" s="9" t="s">
        <v>77</v>
      </c>
      <c r="H963" s="3">
        <v>2402</v>
      </c>
      <c r="I963" s="3">
        <v>2608</v>
      </c>
      <c r="J963" s="3">
        <v>-206</v>
      </c>
      <c r="K963" s="3">
        <v>8.6</v>
      </c>
      <c r="L963" s="3" t="s">
        <v>78</v>
      </c>
      <c r="M963">
        <f t="shared" si="80"/>
        <v>4179</v>
      </c>
      <c r="N963">
        <f t="shared" si="79"/>
        <v>4049.4904493411796</v>
      </c>
      <c r="O963">
        <f t="shared" ref="O963:O1026" si="81">ABS(H963-I963)</f>
        <v>206</v>
      </c>
      <c r="P963" s="6">
        <f t="shared" ref="P963:P1026" si="82">ABS(O963)/H963</f>
        <v>8.5761865112406327E-2</v>
      </c>
      <c r="Q963" s="6">
        <f t="shared" ref="Q963:Q1026" si="83">ABS((H963-N963))/H963</f>
        <v>0.68588278490473753</v>
      </c>
    </row>
    <row r="964" spans="1:17" x14ac:dyDescent="0.25">
      <c r="A964" s="2">
        <v>963</v>
      </c>
      <c r="B964" s="2" t="s">
        <v>57</v>
      </c>
      <c r="C964" s="2" t="s">
        <v>58</v>
      </c>
      <c r="D964" s="2" t="s">
        <v>102</v>
      </c>
      <c r="E964" s="2">
        <v>3</v>
      </c>
      <c r="F964" s="2">
        <v>2023</v>
      </c>
      <c r="G964" s="8" t="s">
        <v>79</v>
      </c>
      <c r="H964" s="2">
        <v>3104</v>
      </c>
      <c r="I964" s="2">
        <v>2794</v>
      </c>
      <c r="J964" s="2">
        <v>310</v>
      </c>
      <c r="K964" s="2">
        <v>10</v>
      </c>
      <c r="L964" s="2" t="s">
        <v>76</v>
      </c>
      <c r="M964">
        <f t="shared" si="80"/>
        <v>3499</v>
      </c>
      <c r="N964">
        <f t="shared" ref="N964:N1027" si="84">0.3*H963+(0.7*N963)</f>
        <v>3555.2433145388254</v>
      </c>
      <c r="O964">
        <f t="shared" si="81"/>
        <v>310</v>
      </c>
      <c r="P964" s="6">
        <f t="shared" si="82"/>
        <v>9.9871134020618563E-2</v>
      </c>
      <c r="Q964" s="6">
        <f t="shared" si="83"/>
        <v>0.14537477916843602</v>
      </c>
    </row>
    <row r="965" spans="1:17" x14ac:dyDescent="0.25">
      <c r="A965" s="3">
        <v>964</v>
      </c>
      <c r="B965" s="3" t="s">
        <v>57</v>
      </c>
      <c r="C965" s="3" t="s">
        <v>58</v>
      </c>
      <c r="D965" s="3" t="s">
        <v>102</v>
      </c>
      <c r="E965" s="3">
        <v>4</v>
      </c>
      <c r="F965" s="3">
        <v>2023</v>
      </c>
      <c r="G965" s="9" t="s">
        <v>80</v>
      </c>
      <c r="H965" s="3">
        <v>3078</v>
      </c>
      <c r="I965" s="3">
        <v>3194</v>
      </c>
      <c r="J965" s="3">
        <v>-116</v>
      </c>
      <c r="K965" s="3">
        <v>3.8</v>
      </c>
      <c r="L965" s="3" t="s">
        <v>78</v>
      </c>
      <c r="M965">
        <f t="shared" si="80"/>
        <v>2684</v>
      </c>
      <c r="N965">
        <f t="shared" si="84"/>
        <v>3419.8703201771773</v>
      </c>
      <c r="O965">
        <f t="shared" si="81"/>
        <v>116</v>
      </c>
      <c r="P965" s="6">
        <f t="shared" si="82"/>
        <v>3.7686809616634176E-2</v>
      </c>
      <c r="Q965" s="6">
        <f t="shared" si="83"/>
        <v>0.11106897991461251</v>
      </c>
    </row>
    <row r="966" spans="1:17" x14ac:dyDescent="0.25">
      <c r="A966" s="2">
        <v>965</v>
      </c>
      <c r="B966" s="2" t="s">
        <v>57</v>
      </c>
      <c r="C966" s="2" t="s">
        <v>58</v>
      </c>
      <c r="D966" s="2" t="s">
        <v>102</v>
      </c>
      <c r="E966" s="2">
        <v>5</v>
      </c>
      <c r="F966" s="2">
        <v>2023</v>
      </c>
      <c r="G966" s="8" t="s">
        <v>81</v>
      </c>
      <c r="H966" s="2">
        <v>3799</v>
      </c>
      <c r="I966" s="2">
        <v>3648</v>
      </c>
      <c r="J966" s="2">
        <v>151</v>
      </c>
      <c r="K966" s="2">
        <v>4</v>
      </c>
      <c r="L966" s="2" t="s">
        <v>76</v>
      </c>
      <c r="M966">
        <f t="shared" ref="M966:M1029" si="85">AVERAGE(H963:H965)</f>
        <v>2861.3333333333335</v>
      </c>
      <c r="N966">
        <f t="shared" si="84"/>
        <v>3317.3092241240242</v>
      </c>
      <c r="O966">
        <f t="shared" si="81"/>
        <v>151</v>
      </c>
      <c r="P966" s="6">
        <f t="shared" si="82"/>
        <v>3.9747301921558308E-2</v>
      </c>
      <c r="Q966" s="6">
        <f t="shared" si="83"/>
        <v>0.12679409736140451</v>
      </c>
    </row>
    <row r="967" spans="1:17" x14ac:dyDescent="0.25">
      <c r="A967" s="3">
        <v>966</v>
      </c>
      <c r="B967" s="3" t="s">
        <v>57</v>
      </c>
      <c r="C967" s="3" t="s">
        <v>58</v>
      </c>
      <c r="D967" s="3" t="s">
        <v>102</v>
      </c>
      <c r="E967" s="3">
        <v>6</v>
      </c>
      <c r="F967" s="3">
        <v>2023</v>
      </c>
      <c r="G967" s="9" t="s">
        <v>82</v>
      </c>
      <c r="H967" s="3">
        <v>3290</v>
      </c>
      <c r="I967" s="3">
        <v>3198</v>
      </c>
      <c r="J967" s="3">
        <v>92</v>
      </c>
      <c r="K967" s="3">
        <v>2.8</v>
      </c>
      <c r="L967" s="3" t="s">
        <v>78</v>
      </c>
      <c r="M967">
        <f t="shared" si="85"/>
        <v>3327</v>
      </c>
      <c r="N967">
        <f t="shared" si="84"/>
        <v>3461.8164568868169</v>
      </c>
      <c r="O967">
        <f t="shared" si="81"/>
        <v>92</v>
      </c>
      <c r="P967" s="6">
        <f t="shared" si="82"/>
        <v>2.7963525835866261E-2</v>
      </c>
      <c r="Q967" s="6">
        <f t="shared" si="83"/>
        <v>5.2223847078059854E-2</v>
      </c>
    </row>
    <row r="968" spans="1:17" x14ac:dyDescent="0.25">
      <c r="A968" s="2">
        <v>967</v>
      </c>
      <c r="B968" s="2" t="s">
        <v>57</v>
      </c>
      <c r="C968" s="2" t="s">
        <v>58</v>
      </c>
      <c r="D968" s="2" t="s">
        <v>102</v>
      </c>
      <c r="E968" s="2">
        <v>7</v>
      </c>
      <c r="F968" s="2">
        <v>2023</v>
      </c>
      <c r="G968" s="8" t="s">
        <v>84</v>
      </c>
      <c r="H968" s="2">
        <v>3470</v>
      </c>
      <c r="I968" s="2">
        <v>3750</v>
      </c>
      <c r="J968" s="2">
        <v>-280</v>
      </c>
      <c r="K968" s="2">
        <v>8.1</v>
      </c>
      <c r="L968" s="2" t="s">
        <v>78</v>
      </c>
      <c r="M968">
        <f t="shared" si="85"/>
        <v>3389</v>
      </c>
      <c r="N968">
        <f t="shared" si="84"/>
        <v>3410.2715198207716</v>
      </c>
      <c r="O968">
        <f t="shared" si="81"/>
        <v>280</v>
      </c>
      <c r="P968" s="6">
        <f t="shared" si="82"/>
        <v>8.069164265129683E-2</v>
      </c>
      <c r="Q968" s="6">
        <f t="shared" si="83"/>
        <v>1.721281849545488E-2</v>
      </c>
    </row>
    <row r="969" spans="1:17" x14ac:dyDescent="0.25">
      <c r="A969" s="3">
        <v>968</v>
      </c>
      <c r="B969" s="3" t="s">
        <v>57</v>
      </c>
      <c r="C969" s="3" t="s">
        <v>58</v>
      </c>
      <c r="D969" s="3" t="s">
        <v>102</v>
      </c>
      <c r="E969" s="3">
        <v>8</v>
      </c>
      <c r="F969" s="3">
        <v>2023</v>
      </c>
      <c r="G969" s="9" t="s">
        <v>85</v>
      </c>
      <c r="H969" s="3">
        <v>3106</v>
      </c>
      <c r="I969" s="3">
        <v>3184</v>
      </c>
      <c r="J969" s="3">
        <v>-78</v>
      </c>
      <c r="K969" s="3">
        <v>2.5</v>
      </c>
      <c r="L969" s="3" t="s">
        <v>83</v>
      </c>
      <c r="M969">
        <f t="shared" si="85"/>
        <v>3519.6666666666665</v>
      </c>
      <c r="N969">
        <f t="shared" si="84"/>
        <v>3428.1900638745401</v>
      </c>
      <c r="O969">
        <f t="shared" si="81"/>
        <v>78</v>
      </c>
      <c r="P969" s="6">
        <f t="shared" si="82"/>
        <v>2.5112685125563427E-2</v>
      </c>
      <c r="Q969" s="6">
        <f t="shared" si="83"/>
        <v>0.10373150800854479</v>
      </c>
    </row>
    <row r="970" spans="1:17" x14ac:dyDescent="0.25">
      <c r="A970" s="2">
        <v>969</v>
      </c>
      <c r="B970" s="2" t="s">
        <v>57</v>
      </c>
      <c r="C970" s="2" t="s">
        <v>58</v>
      </c>
      <c r="D970" s="2" t="s">
        <v>102</v>
      </c>
      <c r="E970" s="2">
        <v>9</v>
      </c>
      <c r="F970" s="2">
        <v>2023</v>
      </c>
      <c r="G970" s="8" t="s">
        <v>86</v>
      </c>
      <c r="H970" s="2">
        <v>3473</v>
      </c>
      <c r="I970" s="2">
        <v>3288</v>
      </c>
      <c r="J970" s="2">
        <v>185</v>
      </c>
      <c r="K970" s="2">
        <v>5.3</v>
      </c>
      <c r="L970" s="2" t="s">
        <v>83</v>
      </c>
      <c r="M970">
        <f t="shared" si="85"/>
        <v>3288.6666666666665</v>
      </c>
      <c r="N970">
        <f t="shared" si="84"/>
        <v>3331.5330447121778</v>
      </c>
      <c r="O970">
        <f t="shared" si="81"/>
        <v>185</v>
      </c>
      <c r="P970" s="6">
        <f t="shared" si="82"/>
        <v>5.3268067952778581E-2</v>
      </c>
      <c r="Q970" s="6">
        <f t="shared" si="83"/>
        <v>4.0733358850510278E-2</v>
      </c>
    </row>
    <row r="971" spans="1:17" x14ac:dyDescent="0.25">
      <c r="A971" s="3">
        <v>970</v>
      </c>
      <c r="B971" s="3" t="s">
        <v>57</v>
      </c>
      <c r="C971" s="3" t="s">
        <v>58</v>
      </c>
      <c r="D971" s="3" t="s">
        <v>102</v>
      </c>
      <c r="E971" s="3">
        <v>10</v>
      </c>
      <c r="F971" s="3">
        <v>2023</v>
      </c>
      <c r="G971" s="9" t="s">
        <v>87</v>
      </c>
      <c r="H971" s="3">
        <v>3288</v>
      </c>
      <c r="I971" s="3">
        <v>3021</v>
      </c>
      <c r="J971" s="3">
        <v>267</v>
      </c>
      <c r="K971" s="3">
        <v>8.1</v>
      </c>
      <c r="L971" s="3" t="s">
        <v>78</v>
      </c>
      <c r="M971">
        <f t="shared" si="85"/>
        <v>3349.6666666666665</v>
      </c>
      <c r="N971">
        <f t="shared" si="84"/>
        <v>3373.9731312985241</v>
      </c>
      <c r="O971">
        <f t="shared" si="81"/>
        <v>267</v>
      </c>
      <c r="P971" s="6">
        <f t="shared" si="82"/>
        <v>8.1204379562043794E-2</v>
      </c>
      <c r="Q971" s="6">
        <f t="shared" si="83"/>
        <v>2.6147546015366209E-2</v>
      </c>
    </row>
    <row r="972" spans="1:17" x14ac:dyDescent="0.25">
      <c r="A972" s="2">
        <v>971</v>
      </c>
      <c r="B972" s="2" t="s">
        <v>57</v>
      </c>
      <c r="C972" s="2" t="s">
        <v>58</v>
      </c>
      <c r="D972" s="2" t="s">
        <v>102</v>
      </c>
      <c r="E972" s="2">
        <v>11</v>
      </c>
      <c r="F972" s="2">
        <v>2023</v>
      </c>
      <c r="G972" s="8" t="s">
        <v>88</v>
      </c>
      <c r="H972" s="2">
        <v>4120</v>
      </c>
      <c r="I972" s="2">
        <v>3817</v>
      </c>
      <c r="J972" s="2">
        <v>303</v>
      </c>
      <c r="K972" s="2">
        <v>7.4</v>
      </c>
      <c r="L972" s="2" t="s">
        <v>78</v>
      </c>
      <c r="M972">
        <f t="shared" si="85"/>
        <v>3289</v>
      </c>
      <c r="N972">
        <f t="shared" si="84"/>
        <v>3348.1811919089669</v>
      </c>
      <c r="O972">
        <f t="shared" si="81"/>
        <v>303</v>
      </c>
      <c r="P972" s="6">
        <f t="shared" si="82"/>
        <v>7.354368932038835E-2</v>
      </c>
      <c r="Q972" s="6">
        <f t="shared" si="83"/>
        <v>0.18733466215801775</v>
      </c>
    </row>
    <row r="973" spans="1:17" x14ac:dyDescent="0.25">
      <c r="A973" s="3">
        <v>972</v>
      </c>
      <c r="B973" s="3" t="s">
        <v>57</v>
      </c>
      <c r="C973" s="3" t="s">
        <v>58</v>
      </c>
      <c r="D973" s="3" t="s">
        <v>102</v>
      </c>
      <c r="E973" s="3">
        <v>12</v>
      </c>
      <c r="F973" s="3">
        <v>2023</v>
      </c>
      <c r="G973" s="9" t="s">
        <v>89</v>
      </c>
      <c r="H973" s="3">
        <v>4329</v>
      </c>
      <c r="I973" s="3">
        <v>4281</v>
      </c>
      <c r="J973" s="3">
        <v>48</v>
      </c>
      <c r="K973" s="3">
        <v>1.1000000000000001</v>
      </c>
      <c r="L973" s="3" t="s">
        <v>78</v>
      </c>
      <c r="M973">
        <f t="shared" si="85"/>
        <v>3627</v>
      </c>
      <c r="N973">
        <f t="shared" si="84"/>
        <v>3579.7268343362766</v>
      </c>
      <c r="O973">
        <f t="shared" si="81"/>
        <v>48</v>
      </c>
      <c r="P973" s="6">
        <f t="shared" si="82"/>
        <v>1.1088011088011088E-2</v>
      </c>
      <c r="Q973" s="6">
        <f t="shared" si="83"/>
        <v>0.17308227435059445</v>
      </c>
    </row>
    <row r="974" spans="1:17" x14ac:dyDescent="0.25">
      <c r="A974" s="2">
        <v>973</v>
      </c>
      <c r="B974" s="2" t="s">
        <v>57</v>
      </c>
      <c r="C974" s="2" t="s">
        <v>58</v>
      </c>
      <c r="D974" s="2" t="s">
        <v>102</v>
      </c>
      <c r="E974" s="2">
        <v>1</v>
      </c>
      <c r="F974" s="2">
        <v>2024</v>
      </c>
      <c r="G974" s="8" t="s">
        <v>90</v>
      </c>
      <c r="H974" s="2">
        <v>2950</v>
      </c>
      <c r="I974" s="2">
        <v>3137</v>
      </c>
      <c r="J974" s="2">
        <v>-187</v>
      </c>
      <c r="K974" s="2">
        <v>6.3</v>
      </c>
      <c r="L974" s="2" t="s">
        <v>76</v>
      </c>
      <c r="M974">
        <f t="shared" si="85"/>
        <v>3912.3333333333335</v>
      </c>
      <c r="N974">
        <f t="shared" si="84"/>
        <v>3804.5087840353935</v>
      </c>
      <c r="O974">
        <f t="shared" si="81"/>
        <v>187</v>
      </c>
      <c r="P974" s="6">
        <f t="shared" si="82"/>
        <v>6.3389830508474576E-2</v>
      </c>
      <c r="Q974" s="6">
        <f t="shared" si="83"/>
        <v>0.28966399458826902</v>
      </c>
    </row>
    <row r="975" spans="1:17" x14ac:dyDescent="0.25">
      <c r="A975" s="3">
        <v>974</v>
      </c>
      <c r="B975" s="3" t="s">
        <v>57</v>
      </c>
      <c r="C975" s="3" t="s">
        <v>58</v>
      </c>
      <c r="D975" s="3" t="s">
        <v>102</v>
      </c>
      <c r="E975" s="3">
        <v>2</v>
      </c>
      <c r="F975" s="3">
        <v>2024</v>
      </c>
      <c r="G975" s="9" t="s">
        <v>91</v>
      </c>
      <c r="H975" s="3">
        <v>2844</v>
      </c>
      <c r="I975" s="3">
        <v>2831</v>
      </c>
      <c r="J975" s="3">
        <v>13</v>
      </c>
      <c r="K975" s="3">
        <v>0.5</v>
      </c>
      <c r="L975" s="3" t="s">
        <v>78</v>
      </c>
      <c r="M975">
        <f t="shared" si="85"/>
        <v>3799.6666666666665</v>
      </c>
      <c r="N975">
        <f t="shared" si="84"/>
        <v>3548.1561488247753</v>
      </c>
      <c r="O975">
        <f t="shared" si="81"/>
        <v>13</v>
      </c>
      <c r="P975" s="6">
        <f t="shared" si="82"/>
        <v>4.5710267229254571E-3</v>
      </c>
      <c r="Q975" s="6">
        <f t="shared" si="83"/>
        <v>0.2475935825684864</v>
      </c>
    </row>
    <row r="976" spans="1:17" x14ac:dyDescent="0.25">
      <c r="A976" s="2">
        <v>975</v>
      </c>
      <c r="B976" s="2" t="s">
        <v>57</v>
      </c>
      <c r="C976" s="2" t="s">
        <v>58</v>
      </c>
      <c r="D976" s="2" t="s">
        <v>102</v>
      </c>
      <c r="E976" s="2">
        <v>3</v>
      </c>
      <c r="F976" s="2">
        <v>2024</v>
      </c>
      <c r="G976" s="8" t="s">
        <v>92</v>
      </c>
      <c r="H976" s="2">
        <v>3060</v>
      </c>
      <c r="I976" s="2">
        <v>3201</v>
      </c>
      <c r="J976" s="2">
        <v>-141</v>
      </c>
      <c r="K976" s="2">
        <v>4.5999999999999996</v>
      </c>
      <c r="L976" s="2" t="s">
        <v>78</v>
      </c>
      <c r="M976">
        <f t="shared" si="85"/>
        <v>3374.3333333333335</v>
      </c>
      <c r="N976">
        <f t="shared" si="84"/>
        <v>3336.9093041773422</v>
      </c>
      <c r="O976">
        <f t="shared" si="81"/>
        <v>141</v>
      </c>
      <c r="P976" s="6">
        <f t="shared" si="82"/>
        <v>4.6078431372549022E-2</v>
      </c>
      <c r="Q976" s="6">
        <f t="shared" si="83"/>
        <v>9.049323665926215E-2</v>
      </c>
    </row>
    <row r="977" spans="1:17" x14ac:dyDescent="0.25">
      <c r="A977" s="3">
        <v>976</v>
      </c>
      <c r="B977" s="3" t="s">
        <v>57</v>
      </c>
      <c r="C977" s="3" t="s">
        <v>58</v>
      </c>
      <c r="D977" s="3" t="s">
        <v>102</v>
      </c>
      <c r="E977" s="3">
        <v>4</v>
      </c>
      <c r="F977" s="3">
        <v>2024</v>
      </c>
      <c r="G977" s="9" t="s">
        <v>93</v>
      </c>
      <c r="H977" s="3">
        <v>2999</v>
      </c>
      <c r="I977" s="3">
        <v>2919</v>
      </c>
      <c r="J977" s="3">
        <v>80</v>
      </c>
      <c r="K977" s="3">
        <v>2.7</v>
      </c>
      <c r="L977" s="3" t="s">
        <v>76</v>
      </c>
      <c r="M977">
        <f t="shared" si="85"/>
        <v>2951.3333333333335</v>
      </c>
      <c r="N977">
        <f t="shared" si="84"/>
        <v>3253.8365129241392</v>
      </c>
      <c r="O977">
        <f t="shared" si="81"/>
        <v>80</v>
      </c>
      <c r="P977" s="6">
        <f t="shared" si="82"/>
        <v>2.6675558519506502E-2</v>
      </c>
      <c r="Q977" s="6">
        <f t="shared" si="83"/>
        <v>8.4973828917685637E-2</v>
      </c>
    </row>
    <row r="978" spans="1:17" x14ac:dyDescent="0.25">
      <c r="A978" s="2">
        <v>977</v>
      </c>
      <c r="B978" s="2" t="s">
        <v>57</v>
      </c>
      <c r="C978" s="2" t="s">
        <v>58</v>
      </c>
      <c r="D978" s="2" t="s">
        <v>102</v>
      </c>
      <c r="E978" s="2">
        <v>5</v>
      </c>
      <c r="F978" s="2">
        <v>2024</v>
      </c>
      <c r="G978" s="8" t="s">
        <v>94</v>
      </c>
      <c r="H978" s="2">
        <v>3177</v>
      </c>
      <c r="I978" s="2">
        <v>3350</v>
      </c>
      <c r="J978" s="2">
        <v>-173</v>
      </c>
      <c r="K978" s="2">
        <v>5.4</v>
      </c>
      <c r="L978" s="2" t="s">
        <v>78</v>
      </c>
      <c r="M978">
        <f t="shared" si="85"/>
        <v>2967.6666666666665</v>
      </c>
      <c r="N978">
        <f t="shared" si="84"/>
        <v>3177.385559046897</v>
      </c>
      <c r="O978">
        <f t="shared" si="81"/>
        <v>173</v>
      </c>
      <c r="P978" s="6">
        <f t="shared" si="82"/>
        <v>5.4453887315077117E-2</v>
      </c>
      <c r="Q978" s="6">
        <f t="shared" si="83"/>
        <v>1.2135947337016522E-4</v>
      </c>
    </row>
    <row r="979" spans="1:17" x14ac:dyDescent="0.25">
      <c r="A979" s="3">
        <v>978</v>
      </c>
      <c r="B979" s="3" t="s">
        <v>57</v>
      </c>
      <c r="C979" s="3" t="s">
        <v>58</v>
      </c>
      <c r="D979" s="3" t="s">
        <v>102</v>
      </c>
      <c r="E979" s="3">
        <v>6</v>
      </c>
      <c r="F979" s="3">
        <v>2024</v>
      </c>
      <c r="G979" s="9" t="s">
        <v>95</v>
      </c>
      <c r="H979" s="3">
        <v>3770</v>
      </c>
      <c r="I979" s="3">
        <v>3903</v>
      </c>
      <c r="J979" s="3">
        <v>-133</v>
      </c>
      <c r="K979" s="3">
        <v>3.5</v>
      </c>
      <c r="L979" s="3" t="s">
        <v>78</v>
      </c>
      <c r="M979">
        <f t="shared" si="85"/>
        <v>3078.6666666666665</v>
      </c>
      <c r="N979">
        <f t="shared" si="84"/>
        <v>3177.2698913328277</v>
      </c>
      <c r="O979">
        <f t="shared" si="81"/>
        <v>133</v>
      </c>
      <c r="P979" s="6">
        <f t="shared" si="82"/>
        <v>3.5278514588859416E-2</v>
      </c>
      <c r="Q979" s="6">
        <f t="shared" si="83"/>
        <v>0.15722284049527116</v>
      </c>
    </row>
    <row r="980" spans="1:17" x14ac:dyDescent="0.25">
      <c r="A980" s="2">
        <v>979</v>
      </c>
      <c r="B980" s="2" t="s">
        <v>57</v>
      </c>
      <c r="C980" s="2" t="s">
        <v>58</v>
      </c>
      <c r="D980" s="2" t="s">
        <v>102</v>
      </c>
      <c r="E980" s="2">
        <v>7</v>
      </c>
      <c r="F980" s="2">
        <v>2024</v>
      </c>
      <c r="G980" s="8" t="s">
        <v>96</v>
      </c>
      <c r="H980" s="2">
        <v>3606</v>
      </c>
      <c r="I980" s="2">
        <v>3251</v>
      </c>
      <c r="J980" s="2">
        <v>355</v>
      </c>
      <c r="K980" s="2">
        <v>9.8000000000000007</v>
      </c>
      <c r="L980" s="2" t="s">
        <v>83</v>
      </c>
      <c r="M980">
        <f t="shared" si="85"/>
        <v>3315.3333333333335</v>
      </c>
      <c r="N980">
        <f t="shared" si="84"/>
        <v>3355.088923932979</v>
      </c>
      <c r="O980">
        <f t="shared" si="81"/>
        <v>355</v>
      </c>
      <c r="P980" s="6">
        <f t="shared" si="82"/>
        <v>9.8447032723239042E-2</v>
      </c>
      <c r="Q980" s="6">
        <f t="shared" si="83"/>
        <v>6.9581551876600381E-2</v>
      </c>
    </row>
    <row r="981" spans="1:17" x14ac:dyDescent="0.25">
      <c r="A981" s="3">
        <v>980</v>
      </c>
      <c r="B981" s="3" t="s">
        <v>57</v>
      </c>
      <c r="C981" s="3" t="s">
        <v>58</v>
      </c>
      <c r="D981" s="3" t="s">
        <v>102</v>
      </c>
      <c r="E981" s="3">
        <v>8</v>
      </c>
      <c r="F981" s="3">
        <v>2024</v>
      </c>
      <c r="G981" s="9" t="s">
        <v>97</v>
      </c>
      <c r="H981" s="3">
        <v>3200</v>
      </c>
      <c r="I981" s="3">
        <v>3104</v>
      </c>
      <c r="J981" s="3">
        <v>96</v>
      </c>
      <c r="K981" s="3">
        <v>3</v>
      </c>
      <c r="L981" s="3" t="s">
        <v>78</v>
      </c>
      <c r="M981">
        <f t="shared" si="85"/>
        <v>3517.6666666666665</v>
      </c>
      <c r="N981">
        <f t="shared" si="84"/>
        <v>3430.3622467530849</v>
      </c>
      <c r="O981">
        <f t="shared" si="81"/>
        <v>96</v>
      </c>
      <c r="P981" s="6">
        <f t="shared" si="82"/>
        <v>0.03</v>
      </c>
      <c r="Q981" s="6">
        <f t="shared" si="83"/>
        <v>7.1988202110339045E-2</v>
      </c>
    </row>
    <row r="982" spans="1:17" x14ac:dyDescent="0.25">
      <c r="A982" s="2">
        <v>981</v>
      </c>
      <c r="B982" s="2" t="s">
        <v>57</v>
      </c>
      <c r="C982" s="2" t="s">
        <v>58</v>
      </c>
      <c r="D982" s="2" t="s">
        <v>102</v>
      </c>
      <c r="E982" s="2">
        <v>9</v>
      </c>
      <c r="F982" s="2">
        <v>2024</v>
      </c>
      <c r="G982" s="8" t="s">
        <v>98</v>
      </c>
      <c r="H982" s="2">
        <v>3416</v>
      </c>
      <c r="I982" s="2">
        <v>3177</v>
      </c>
      <c r="J982" s="2">
        <v>239</v>
      </c>
      <c r="K982" s="2">
        <v>7</v>
      </c>
      <c r="L982" s="2" t="s">
        <v>76</v>
      </c>
      <c r="M982">
        <f t="shared" si="85"/>
        <v>3525.3333333333335</v>
      </c>
      <c r="N982">
        <f t="shared" si="84"/>
        <v>3361.2535727271593</v>
      </c>
      <c r="O982">
        <f t="shared" si="81"/>
        <v>239</v>
      </c>
      <c r="P982" s="6">
        <f t="shared" si="82"/>
        <v>6.9964871194379386E-2</v>
      </c>
      <c r="Q982" s="6">
        <f t="shared" si="83"/>
        <v>1.6026471684086861E-2</v>
      </c>
    </row>
    <row r="983" spans="1:17" x14ac:dyDescent="0.25">
      <c r="A983" s="3">
        <v>982</v>
      </c>
      <c r="B983" s="3" t="s">
        <v>57</v>
      </c>
      <c r="C983" s="3" t="s">
        <v>58</v>
      </c>
      <c r="D983" s="3" t="s">
        <v>102</v>
      </c>
      <c r="E983" s="3">
        <v>10</v>
      </c>
      <c r="F983" s="3">
        <v>2024</v>
      </c>
      <c r="G983" s="9" t="s">
        <v>99</v>
      </c>
      <c r="H983" s="3">
        <v>3748</v>
      </c>
      <c r="I983" s="3">
        <v>3704</v>
      </c>
      <c r="J983" s="3">
        <v>44</v>
      </c>
      <c r="K983" s="3">
        <v>1.2</v>
      </c>
      <c r="L983" s="3" t="s">
        <v>78</v>
      </c>
      <c r="M983">
        <f t="shared" si="85"/>
        <v>3407.3333333333335</v>
      </c>
      <c r="N983">
        <f t="shared" si="84"/>
        <v>3377.6775009090115</v>
      </c>
      <c r="O983">
        <f t="shared" si="81"/>
        <v>44</v>
      </c>
      <c r="P983" s="6">
        <f t="shared" si="82"/>
        <v>1.1739594450373533E-2</v>
      </c>
      <c r="Q983" s="6">
        <f t="shared" si="83"/>
        <v>9.8805362617659667E-2</v>
      </c>
    </row>
    <row r="984" spans="1:17" x14ac:dyDescent="0.25">
      <c r="A984" s="2">
        <v>983</v>
      </c>
      <c r="B984" s="2" t="s">
        <v>57</v>
      </c>
      <c r="C984" s="2" t="s">
        <v>58</v>
      </c>
      <c r="D984" s="2" t="s">
        <v>102</v>
      </c>
      <c r="E984" s="2">
        <v>11</v>
      </c>
      <c r="F984" s="2">
        <v>2024</v>
      </c>
      <c r="G984" s="8" t="s">
        <v>100</v>
      </c>
      <c r="H984" s="2">
        <v>3732</v>
      </c>
      <c r="I984" s="2">
        <v>3433</v>
      </c>
      <c r="J984" s="2">
        <v>299</v>
      </c>
      <c r="K984" s="2">
        <v>8</v>
      </c>
      <c r="L984" s="2" t="s">
        <v>78</v>
      </c>
      <c r="M984">
        <f t="shared" si="85"/>
        <v>3454.6666666666665</v>
      </c>
      <c r="N984">
        <f t="shared" si="84"/>
        <v>3488.7742506363074</v>
      </c>
      <c r="O984">
        <f t="shared" si="81"/>
        <v>299</v>
      </c>
      <c r="P984" s="6">
        <f t="shared" si="82"/>
        <v>8.0117899249732047E-2</v>
      </c>
      <c r="Q984" s="6">
        <f t="shared" si="83"/>
        <v>6.5173030376123403E-2</v>
      </c>
    </row>
    <row r="985" spans="1:17" x14ac:dyDescent="0.25">
      <c r="A985" s="3">
        <v>984</v>
      </c>
      <c r="B985" s="3" t="s">
        <v>57</v>
      </c>
      <c r="C985" s="3" t="s">
        <v>58</v>
      </c>
      <c r="D985" s="3" t="s">
        <v>102</v>
      </c>
      <c r="E985" s="3">
        <v>12</v>
      </c>
      <c r="F985" s="3">
        <v>2024</v>
      </c>
      <c r="G985" s="9" t="s">
        <v>101</v>
      </c>
      <c r="H985" s="3">
        <v>4402</v>
      </c>
      <c r="I985" s="3">
        <v>4299</v>
      </c>
      <c r="J985" s="3">
        <v>103</v>
      </c>
      <c r="K985" s="3">
        <v>2.2999999999999998</v>
      </c>
      <c r="L985" s="3" t="s">
        <v>76</v>
      </c>
      <c r="M985">
        <f t="shared" si="85"/>
        <v>3632</v>
      </c>
      <c r="N985">
        <f t="shared" si="84"/>
        <v>3561.7419754454149</v>
      </c>
      <c r="O985">
        <f t="shared" si="81"/>
        <v>103</v>
      </c>
      <c r="P985" s="6">
        <f t="shared" si="82"/>
        <v>2.3398455247614719E-2</v>
      </c>
      <c r="Q985" s="6">
        <f t="shared" si="83"/>
        <v>0.19088096877659816</v>
      </c>
    </row>
    <row r="986" spans="1:17" x14ac:dyDescent="0.25">
      <c r="A986" s="2">
        <v>985</v>
      </c>
      <c r="B986" s="2" t="s">
        <v>57</v>
      </c>
      <c r="C986" s="2" t="s">
        <v>58</v>
      </c>
      <c r="D986" s="2" t="s">
        <v>103</v>
      </c>
      <c r="E986" s="2">
        <v>1</v>
      </c>
      <c r="F986" s="2">
        <v>2023</v>
      </c>
      <c r="G986" s="8" t="s">
        <v>75</v>
      </c>
      <c r="H986" s="2">
        <v>3009</v>
      </c>
      <c r="I986" s="2">
        <v>2792</v>
      </c>
      <c r="J986" s="2">
        <v>217</v>
      </c>
      <c r="K986" s="2">
        <v>7.2</v>
      </c>
      <c r="L986" s="2" t="s">
        <v>76</v>
      </c>
      <c r="M986">
        <f t="shared" si="85"/>
        <v>3960.6666666666665</v>
      </c>
      <c r="N986">
        <f t="shared" si="84"/>
        <v>3813.8193828117901</v>
      </c>
      <c r="O986">
        <f t="shared" si="81"/>
        <v>217</v>
      </c>
      <c r="P986" s="6">
        <f t="shared" si="82"/>
        <v>7.211698238617481E-2</v>
      </c>
      <c r="Q986" s="6">
        <f t="shared" si="83"/>
        <v>0.26747071545755735</v>
      </c>
    </row>
    <row r="987" spans="1:17" x14ac:dyDescent="0.25">
      <c r="A987" s="3">
        <v>986</v>
      </c>
      <c r="B987" s="3" t="s">
        <v>57</v>
      </c>
      <c r="C987" s="3" t="s">
        <v>58</v>
      </c>
      <c r="D987" s="3" t="s">
        <v>103</v>
      </c>
      <c r="E987" s="3">
        <v>2</v>
      </c>
      <c r="F987" s="3">
        <v>2023</v>
      </c>
      <c r="G987" s="9" t="s">
        <v>77</v>
      </c>
      <c r="H987" s="3">
        <v>3143</v>
      </c>
      <c r="I987" s="3">
        <v>2984</v>
      </c>
      <c r="J987" s="3">
        <v>159</v>
      </c>
      <c r="K987" s="3">
        <v>5.0999999999999996</v>
      </c>
      <c r="L987" s="3" t="s">
        <v>83</v>
      </c>
      <c r="M987">
        <f t="shared" si="85"/>
        <v>3714.3333333333335</v>
      </c>
      <c r="N987">
        <f t="shared" si="84"/>
        <v>3572.3735679682527</v>
      </c>
      <c r="O987">
        <f t="shared" si="81"/>
        <v>159</v>
      </c>
      <c r="P987" s="6">
        <f t="shared" si="82"/>
        <v>5.0588609608654155E-2</v>
      </c>
      <c r="Q987" s="6">
        <f t="shared" si="83"/>
        <v>0.13661265286931362</v>
      </c>
    </row>
    <row r="988" spans="1:17" x14ac:dyDescent="0.25">
      <c r="A988" s="2">
        <v>987</v>
      </c>
      <c r="B988" s="2" t="s">
        <v>57</v>
      </c>
      <c r="C988" s="2" t="s">
        <v>58</v>
      </c>
      <c r="D988" s="2" t="s">
        <v>103</v>
      </c>
      <c r="E988" s="2">
        <v>3</v>
      </c>
      <c r="F988" s="2">
        <v>2023</v>
      </c>
      <c r="G988" s="8" t="s">
        <v>79</v>
      </c>
      <c r="H988" s="2">
        <v>3604</v>
      </c>
      <c r="I988" s="2">
        <v>3681</v>
      </c>
      <c r="J988" s="2">
        <v>-77</v>
      </c>
      <c r="K988" s="2">
        <v>2.1</v>
      </c>
      <c r="L988" s="2" t="s">
        <v>83</v>
      </c>
      <c r="M988">
        <f t="shared" si="85"/>
        <v>3518</v>
      </c>
      <c r="N988">
        <f t="shared" si="84"/>
        <v>3443.5614975777767</v>
      </c>
      <c r="O988">
        <f t="shared" si="81"/>
        <v>77</v>
      </c>
      <c r="P988" s="6">
        <f t="shared" si="82"/>
        <v>2.1365149833518313E-2</v>
      </c>
      <c r="Q988" s="6">
        <f t="shared" si="83"/>
        <v>4.4516787575533665E-2</v>
      </c>
    </row>
    <row r="989" spans="1:17" x14ac:dyDescent="0.25">
      <c r="A989" s="3">
        <v>988</v>
      </c>
      <c r="B989" s="3" t="s">
        <v>57</v>
      </c>
      <c r="C989" s="3" t="s">
        <v>58</v>
      </c>
      <c r="D989" s="3" t="s">
        <v>103</v>
      </c>
      <c r="E989" s="3">
        <v>4</v>
      </c>
      <c r="F989" s="3">
        <v>2023</v>
      </c>
      <c r="G989" s="9" t="s">
        <v>80</v>
      </c>
      <c r="H989" s="3">
        <v>3284</v>
      </c>
      <c r="I989" s="3">
        <v>3511</v>
      </c>
      <c r="J989" s="3">
        <v>-227</v>
      </c>
      <c r="K989" s="3">
        <v>6.9</v>
      </c>
      <c r="L989" s="3" t="s">
        <v>76</v>
      </c>
      <c r="M989">
        <f t="shared" si="85"/>
        <v>3252</v>
      </c>
      <c r="N989">
        <f t="shared" si="84"/>
        <v>3491.6930483044434</v>
      </c>
      <c r="O989">
        <f t="shared" si="81"/>
        <v>227</v>
      </c>
      <c r="P989" s="6">
        <f t="shared" si="82"/>
        <v>6.912302070645554E-2</v>
      </c>
      <c r="Q989" s="6">
        <f t="shared" si="83"/>
        <v>6.3243924575043672E-2</v>
      </c>
    </row>
    <row r="990" spans="1:17" x14ac:dyDescent="0.25">
      <c r="A990" s="2">
        <v>989</v>
      </c>
      <c r="B990" s="2" t="s">
        <v>57</v>
      </c>
      <c r="C990" s="2" t="s">
        <v>58</v>
      </c>
      <c r="D990" s="2" t="s">
        <v>103</v>
      </c>
      <c r="E990" s="2">
        <v>5</v>
      </c>
      <c r="F990" s="2">
        <v>2023</v>
      </c>
      <c r="G990" s="8" t="s">
        <v>81</v>
      </c>
      <c r="H990" s="2">
        <v>3615</v>
      </c>
      <c r="I990" s="2">
        <v>3692</v>
      </c>
      <c r="J990" s="2">
        <v>-77</v>
      </c>
      <c r="K990" s="2">
        <v>2.1</v>
      </c>
      <c r="L990" s="2" t="s">
        <v>78</v>
      </c>
      <c r="M990">
        <f t="shared" si="85"/>
        <v>3343.6666666666665</v>
      </c>
      <c r="N990">
        <f t="shared" si="84"/>
        <v>3429.3851338131099</v>
      </c>
      <c r="O990">
        <f t="shared" si="81"/>
        <v>77</v>
      </c>
      <c r="P990" s="6">
        <f t="shared" si="82"/>
        <v>2.1300138312586446E-2</v>
      </c>
      <c r="Q990" s="6">
        <f t="shared" si="83"/>
        <v>5.1345744450038769E-2</v>
      </c>
    </row>
    <row r="991" spans="1:17" x14ac:dyDescent="0.25">
      <c r="A991" s="3">
        <v>990</v>
      </c>
      <c r="B991" s="3" t="s">
        <v>57</v>
      </c>
      <c r="C991" s="3" t="s">
        <v>58</v>
      </c>
      <c r="D991" s="3" t="s">
        <v>103</v>
      </c>
      <c r="E991" s="3">
        <v>6</v>
      </c>
      <c r="F991" s="3">
        <v>2023</v>
      </c>
      <c r="G991" s="9" t="s">
        <v>82</v>
      </c>
      <c r="H991" s="3">
        <v>4317</v>
      </c>
      <c r="I991" s="3">
        <v>4140</v>
      </c>
      <c r="J991" s="3">
        <v>177</v>
      </c>
      <c r="K991" s="3">
        <v>4.0999999999999996</v>
      </c>
      <c r="L991" s="3" t="s">
        <v>78</v>
      </c>
      <c r="M991">
        <f t="shared" si="85"/>
        <v>3501</v>
      </c>
      <c r="N991">
        <f t="shared" si="84"/>
        <v>3485.0695936691768</v>
      </c>
      <c r="O991">
        <f t="shared" si="81"/>
        <v>177</v>
      </c>
      <c r="P991" s="6">
        <f t="shared" si="82"/>
        <v>4.1000694927032663E-2</v>
      </c>
      <c r="Q991" s="6">
        <f t="shared" si="83"/>
        <v>0.19271030955080454</v>
      </c>
    </row>
    <row r="992" spans="1:17" x14ac:dyDescent="0.25">
      <c r="A992" s="2">
        <v>991</v>
      </c>
      <c r="B992" s="2" t="s">
        <v>57</v>
      </c>
      <c r="C992" s="2" t="s">
        <v>58</v>
      </c>
      <c r="D992" s="2" t="s">
        <v>103</v>
      </c>
      <c r="E992" s="2">
        <v>7</v>
      </c>
      <c r="F992" s="2">
        <v>2023</v>
      </c>
      <c r="G992" s="8" t="s">
        <v>84</v>
      </c>
      <c r="H992" s="2">
        <v>4273</v>
      </c>
      <c r="I992" s="2">
        <v>4524</v>
      </c>
      <c r="J992" s="2">
        <v>-251</v>
      </c>
      <c r="K992" s="2">
        <v>5.9</v>
      </c>
      <c r="L992" s="2" t="s">
        <v>78</v>
      </c>
      <c r="M992">
        <f t="shared" si="85"/>
        <v>3738.6666666666665</v>
      </c>
      <c r="N992">
        <f t="shared" si="84"/>
        <v>3734.6487155684235</v>
      </c>
      <c r="O992">
        <f t="shared" si="81"/>
        <v>251</v>
      </c>
      <c r="P992" s="6">
        <f t="shared" si="82"/>
        <v>5.874093142990873E-2</v>
      </c>
      <c r="Q992" s="6">
        <f t="shared" si="83"/>
        <v>0.12598906726692638</v>
      </c>
    </row>
    <row r="993" spans="1:17" x14ac:dyDescent="0.25">
      <c r="A993" s="3">
        <v>992</v>
      </c>
      <c r="B993" s="3" t="s">
        <v>57</v>
      </c>
      <c r="C993" s="3" t="s">
        <v>58</v>
      </c>
      <c r="D993" s="3" t="s">
        <v>103</v>
      </c>
      <c r="E993" s="3">
        <v>8</v>
      </c>
      <c r="F993" s="3">
        <v>2023</v>
      </c>
      <c r="G993" s="9" t="s">
        <v>85</v>
      </c>
      <c r="H993" s="3">
        <v>3885</v>
      </c>
      <c r="I993" s="3">
        <v>3584</v>
      </c>
      <c r="J993" s="3">
        <v>301</v>
      </c>
      <c r="K993" s="3">
        <v>7.7</v>
      </c>
      <c r="L993" s="3" t="s">
        <v>76</v>
      </c>
      <c r="M993">
        <f t="shared" si="85"/>
        <v>4068.3333333333335</v>
      </c>
      <c r="N993">
        <f t="shared" si="84"/>
        <v>3896.1541008978966</v>
      </c>
      <c r="O993">
        <f t="shared" si="81"/>
        <v>301</v>
      </c>
      <c r="P993" s="6">
        <f t="shared" si="82"/>
        <v>7.7477477477477477E-2</v>
      </c>
      <c r="Q993" s="6">
        <f t="shared" si="83"/>
        <v>2.8710684421870193E-3</v>
      </c>
    </row>
    <row r="994" spans="1:17" x14ac:dyDescent="0.25">
      <c r="A994" s="2">
        <v>993</v>
      </c>
      <c r="B994" s="2" t="s">
        <v>57</v>
      </c>
      <c r="C994" s="2" t="s">
        <v>58</v>
      </c>
      <c r="D994" s="2" t="s">
        <v>103</v>
      </c>
      <c r="E994" s="2">
        <v>9</v>
      </c>
      <c r="F994" s="2">
        <v>2023</v>
      </c>
      <c r="G994" s="8" t="s">
        <v>86</v>
      </c>
      <c r="H994" s="2">
        <v>3827</v>
      </c>
      <c r="I994" s="2">
        <v>3498</v>
      </c>
      <c r="J994" s="2">
        <v>329</v>
      </c>
      <c r="K994" s="2">
        <v>8.6</v>
      </c>
      <c r="L994" s="2" t="s">
        <v>78</v>
      </c>
      <c r="M994">
        <f t="shared" si="85"/>
        <v>4158.333333333333</v>
      </c>
      <c r="N994">
        <f t="shared" si="84"/>
        <v>3892.8078706285273</v>
      </c>
      <c r="O994">
        <f t="shared" si="81"/>
        <v>329</v>
      </c>
      <c r="P994" s="6">
        <f t="shared" si="82"/>
        <v>8.5968121243794091E-2</v>
      </c>
      <c r="Q994" s="6">
        <f t="shared" si="83"/>
        <v>1.7195680854070375E-2</v>
      </c>
    </row>
    <row r="995" spans="1:17" x14ac:dyDescent="0.25">
      <c r="A995" s="3">
        <v>994</v>
      </c>
      <c r="B995" s="3" t="s">
        <v>57</v>
      </c>
      <c r="C995" s="3" t="s">
        <v>58</v>
      </c>
      <c r="D995" s="3" t="s">
        <v>103</v>
      </c>
      <c r="E995" s="3">
        <v>10</v>
      </c>
      <c r="F995" s="3">
        <v>2023</v>
      </c>
      <c r="G995" s="9" t="s">
        <v>87</v>
      </c>
      <c r="H995" s="3">
        <v>4551</v>
      </c>
      <c r="I995" s="3">
        <v>4945</v>
      </c>
      <c r="J995" s="3">
        <v>-394</v>
      </c>
      <c r="K995" s="3">
        <v>8.6999999999999993</v>
      </c>
      <c r="L995" s="3" t="s">
        <v>78</v>
      </c>
      <c r="M995">
        <f t="shared" si="85"/>
        <v>3995</v>
      </c>
      <c r="N995">
        <f t="shared" si="84"/>
        <v>3873.065509439969</v>
      </c>
      <c r="O995">
        <f t="shared" si="81"/>
        <v>394</v>
      </c>
      <c r="P995" s="6">
        <f t="shared" si="82"/>
        <v>8.6574379257306086E-2</v>
      </c>
      <c r="Q995" s="6">
        <f t="shared" si="83"/>
        <v>0.14896385202373785</v>
      </c>
    </row>
    <row r="996" spans="1:17" x14ac:dyDescent="0.25">
      <c r="A996" s="2">
        <v>995</v>
      </c>
      <c r="B996" s="2" t="s">
        <v>57</v>
      </c>
      <c r="C996" s="2" t="s">
        <v>58</v>
      </c>
      <c r="D996" s="2" t="s">
        <v>103</v>
      </c>
      <c r="E996" s="2">
        <v>11</v>
      </c>
      <c r="F996" s="2">
        <v>2023</v>
      </c>
      <c r="G996" s="8" t="s">
        <v>88</v>
      </c>
      <c r="H996" s="2">
        <v>4505</v>
      </c>
      <c r="I996" s="2">
        <v>4810</v>
      </c>
      <c r="J996" s="2">
        <v>-305</v>
      </c>
      <c r="K996" s="2">
        <v>6.8</v>
      </c>
      <c r="L996" s="2" t="s">
        <v>76</v>
      </c>
      <c r="M996">
        <f t="shared" si="85"/>
        <v>4087.6666666666665</v>
      </c>
      <c r="N996">
        <f t="shared" si="84"/>
        <v>4076.4458566079784</v>
      </c>
      <c r="O996">
        <f t="shared" si="81"/>
        <v>305</v>
      </c>
      <c r="P996" s="6">
        <f t="shared" si="82"/>
        <v>6.7702552719200892E-2</v>
      </c>
      <c r="Q996" s="6">
        <f t="shared" si="83"/>
        <v>9.5128555691902691E-2</v>
      </c>
    </row>
    <row r="997" spans="1:17" x14ac:dyDescent="0.25">
      <c r="A997" s="3">
        <v>996</v>
      </c>
      <c r="B997" s="3" t="s">
        <v>57</v>
      </c>
      <c r="C997" s="3" t="s">
        <v>58</v>
      </c>
      <c r="D997" s="3" t="s">
        <v>103</v>
      </c>
      <c r="E997" s="3">
        <v>12</v>
      </c>
      <c r="F997" s="3">
        <v>2023</v>
      </c>
      <c r="G997" s="9" t="s">
        <v>89</v>
      </c>
      <c r="H997" s="3">
        <v>4660</v>
      </c>
      <c r="I997" s="3">
        <v>4830</v>
      </c>
      <c r="J997" s="3">
        <v>-170</v>
      </c>
      <c r="K997" s="3">
        <v>3.6</v>
      </c>
      <c r="L997" s="3" t="s">
        <v>76</v>
      </c>
      <c r="M997">
        <f t="shared" si="85"/>
        <v>4294.333333333333</v>
      </c>
      <c r="N997">
        <f t="shared" si="84"/>
        <v>4205.0120996255846</v>
      </c>
      <c r="O997">
        <f t="shared" si="81"/>
        <v>170</v>
      </c>
      <c r="P997" s="6">
        <f t="shared" si="82"/>
        <v>3.6480686695278972E-2</v>
      </c>
      <c r="Q997" s="6">
        <f t="shared" si="83"/>
        <v>9.7636888492363821E-2</v>
      </c>
    </row>
    <row r="998" spans="1:17" x14ac:dyDescent="0.25">
      <c r="A998" s="2">
        <v>997</v>
      </c>
      <c r="B998" s="2" t="s">
        <v>57</v>
      </c>
      <c r="C998" s="2" t="s">
        <v>58</v>
      </c>
      <c r="D998" s="2" t="s">
        <v>103</v>
      </c>
      <c r="E998" s="2">
        <v>1</v>
      </c>
      <c r="F998" s="2">
        <v>2024</v>
      </c>
      <c r="G998" s="8" t="s">
        <v>90</v>
      </c>
      <c r="H998" s="2">
        <v>3492</v>
      </c>
      <c r="I998" s="2">
        <v>3680</v>
      </c>
      <c r="J998" s="2">
        <v>-188</v>
      </c>
      <c r="K998" s="2">
        <v>5.4</v>
      </c>
      <c r="L998" s="2" t="s">
        <v>78</v>
      </c>
      <c r="M998">
        <f t="shared" si="85"/>
        <v>4572</v>
      </c>
      <c r="N998">
        <f t="shared" si="84"/>
        <v>4341.5084697379089</v>
      </c>
      <c r="O998">
        <f t="shared" si="81"/>
        <v>188</v>
      </c>
      <c r="P998" s="6">
        <f t="shared" si="82"/>
        <v>5.3837342497136315E-2</v>
      </c>
      <c r="Q998" s="6">
        <f t="shared" si="83"/>
        <v>0.24327275765690404</v>
      </c>
    </row>
    <row r="999" spans="1:17" x14ac:dyDescent="0.25">
      <c r="A999" s="3">
        <v>998</v>
      </c>
      <c r="B999" s="3" t="s">
        <v>57</v>
      </c>
      <c r="C999" s="3" t="s">
        <v>58</v>
      </c>
      <c r="D999" s="3" t="s">
        <v>103</v>
      </c>
      <c r="E999" s="3">
        <v>2</v>
      </c>
      <c r="F999" s="3">
        <v>2024</v>
      </c>
      <c r="G999" s="9" t="s">
        <v>91</v>
      </c>
      <c r="H999" s="3">
        <v>3101</v>
      </c>
      <c r="I999" s="3">
        <v>2799</v>
      </c>
      <c r="J999" s="3">
        <v>302</v>
      </c>
      <c r="K999" s="3">
        <v>9.6999999999999993</v>
      </c>
      <c r="L999" s="3" t="s">
        <v>78</v>
      </c>
      <c r="M999">
        <f t="shared" si="85"/>
        <v>4219</v>
      </c>
      <c r="N999">
        <f t="shared" si="84"/>
        <v>4086.6559288165358</v>
      </c>
      <c r="O999">
        <f t="shared" si="81"/>
        <v>302</v>
      </c>
      <c r="P999" s="6">
        <f t="shared" si="82"/>
        <v>9.7387939374395355E-2</v>
      </c>
      <c r="Q999" s="6">
        <f t="shared" si="83"/>
        <v>0.31785099284635143</v>
      </c>
    </row>
    <row r="1000" spans="1:17" x14ac:dyDescent="0.25">
      <c r="A1000" s="2">
        <v>999</v>
      </c>
      <c r="B1000" s="2" t="s">
        <v>57</v>
      </c>
      <c r="C1000" s="2" t="s">
        <v>58</v>
      </c>
      <c r="D1000" s="2" t="s">
        <v>103</v>
      </c>
      <c r="E1000" s="2">
        <v>3</v>
      </c>
      <c r="F1000" s="2">
        <v>2024</v>
      </c>
      <c r="G1000" s="8" t="s">
        <v>92</v>
      </c>
      <c r="H1000" s="2">
        <v>3131</v>
      </c>
      <c r="I1000" s="2">
        <v>2855</v>
      </c>
      <c r="J1000" s="2">
        <v>276</v>
      </c>
      <c r="K1000" s="2">
        <v>8.8000000000000007</v>
      </c>
      <c r="L1000" s="2" t="s">
        <v>76</v>
      </c>
      <c r="M1000">
        <f t="shared" si="85"/>
        <v>3751</v>
      </c>
      <c r="N1000">
        <f t="shared" si="84"/>
        <v>3790.9591501715749</v>
      </c>
      <c r="O1000">
        <f t="shared" si="81"/>
        <v>276</v>
      </c>
      <c r="P1000" s="6">
        <f t="shared" si="82"/>
        <v>8.8150750558926863E-2</v>
      </c>
      <c r="Q1000" s="6">
        <f t="shared" si="83"/>
        <v>0.21078222618063716</v>
      </c>
    </row>
    <row r="1001" spans="1:17" x14ac:dyDescent="0.25">
      <c r="A1001" s="3">
        <v>1000</v>
      </c>
      <c r="B1001" s="3" t="s">
        <v>57</v>
      </c>
      <c r="C1001" s="3" t="s">
        <v>58</v>
      </c>
      <c r="D1001" s="3" t="s">
        <v>103</v>
      </c>
      <c r="E1001" s="3">
        <v>4</v>
      </c>
      <c r="F1001" s="3">
        <v>2024</v>
      </c>
      <c r="G1001" s="9" t="s">
        <v>93</v>
      </c>
      <c r="H1001" s="3">
        <v>3710</v>
      </c>
      <c r="I1001" s="3">
        <v>3805</v>
      </c>
      <c r="J1001" s="3">
        <v>-95</v>
      </c>
      <c r="K1001" s="3">
        <v>2.6</v>
      </c>
      <c r="L1001" s="3" t="s">
        <v>83</v>
      </c>
      <c r="M1001">
        <f t="shared" si="85"/>
        <v>3241.3333333333335</v>
      </c>
      <c r="N1001">
        <f t="shared" si="84"/>
        <v>3592.9714051201026</v>
      </c>
      <c r="O1001">
        <f t="shared" si="81"/>
        <v>95</v>
      </c>
      <c r="P1001" s="6">
        <f t="shared" si="82"/>
        <v>2.5606469002695417E-2</v>
      </c>
      <c r="Q1001" s="6">
        <f t="shared" si="83"/>
        <v>3.1544095654958859E-2</v>
      </c>
    </row>
    <row r="1002" spans="1:17" x14ac:dyDescent="0.25">
      <c r="A1002" s="2">
        <v>1001</v>
      </c>
      <c r="B1002" s="2" t="s">
        <v>57</v>
      </c>
      <c r="C1002" s="2" t="s">
        <v>58</v>
      </c>
      <c r="D1002" s="2" t="s">
        <v>103</v>
      </c>
      <c r="E1002" s="2">
        <v>5</v>
      </c>
      <c r="F1002" s="2">
        <v>2024</v>
      </c>
      <c r="G1002" s="8" t="s">
        <v>94</v>
      </c>
      <c r="H1002" s="2">
        <v>4139</v>
      </c>
      <c r="I1002" s="2">
        <v>4075</v>
      </c>
      <c r="J1002" s="2">
        <v>64</v>
      </c>
      <c r="K1002" s="2">
        <v>1.5</v>
      </c>
      <c r="L1002" s="2" t="s">
        <v>76</v>
      </c>
      <c r="M1002">
        <f t="shared" si="85"/>
        <v>3314</v>
      </c>
      <c r="N1002">
        <f t="shared" si="84"/>
        <v>3628.0799835840717</v>
      </c>
      <c r="O1002">
        <f t="shared" si="81"/>
        <v>64</v>
      </c>
      <c r="P1002" s="6">
        <f t="shared" si="82"/>
        <v>1.5462672143029717E-2</v>
      </c>
      <c r="Q1002" s="6">
        <f t="shared" si="83"/>
        <v>0.12344044851798221</v>
      </c>
    </row>
    <row r="1003" spans="1:17" x14ac:dyDescent="0.25">
      <c r="A1003" s="3">
        <v>1002</v>
      </c>
      <c r="B1003" s="3" t="s">
        <v>57</v>
      </c>
      <c r="C1003" s="3" t="s">
        <v>58</v>
      </c>
      <c r="D1003" s="3" t="s">
        <v>103</v>
      </c>
      <c r="E1003" s="3">
        <v>6</v>
      </c>
      <c r="F1003" s="3">
        <v>2024</v>
      </c>
      <c r="G1003" s="9" t="s">
        <v>95</v>
      </c>
      <c r="H1003" s="3">
        <v>3667</v>
      </c>
      <c r="I1003" s="3">
        <v>3693</v>
      </c>
      <c r="J1003" s="3">
        <v>-26</v>
      </c>
      <c r="K1003" s="3">
        <v>0.7</v>
      </c>
      <c r="L1003" s="3" t="s">
        <v>83</v>
      </c>
      <c r="M1003">
        <f t="shared" si="85"/>
        <v>3660</v>
      </c>
      <c r="N1003">
        <f t="shared" si="84"/>
        <v>3781.3559885088498</v>
      </c>
      <c r="O1003">
        <f t="shared" si="81"/>
        <v>26</v>
      </c>
      <c r="P1003" s="6">
        <f t="shared" si="82"/>
        <v>7.0902645214071447E-3</v>
      </c>
      <c r="Q1003" s="6">
        <f t="shared" si="83"/>
        <v>3.1185161851336188E-2</v>
      </c>
    </row>
    <row r="1004" spans="1:17" x14ac:dyDescent="0.25">
      <c r="A1004" s="2">
        <v>1003</v>
      </c>
      <c r="B1004" s="2" t="s">
        <v>57</v>
      </c>
      <c r="C1004" s="2" t="s">
        <v>58</v>
      </c>
      <c r="D1004" s="2" t="s">
        <v>103</v>
      </c>
      <c r="E1004" s="2">
        <v>7</v>
      </c>
      <c r="F1004" s="2">
        <v>2024</v>
      </c>
      <c r="G1004" s="8" t="s">
        <v>96</v>
      </c>
      <c r="H1004" s="2">
        <v>3667</v>
      </c>
      <c r="I1004" s="2">
        <v>3361</v>
      </c>
      <c r="J1004" s="2">
        <v>306</v>
      </c>
      <c r="K1004" s="2">
        <v>8.3000000000000007</v>
      </c>
      <c r="L1004" s="2" t="s">
        <v>78</v>
      </c>
      <c r="M1004">
        <f t="shared" si="85"/>
        <v>3838.6666666666665</v>
      </c>
      <c r="N1004">
        <f t="shared" si="84"/>
        <v>3747.0491919561946</v>
      </c>
      <c r="O1004">
        <f t="shared" si="81"/>
        <v>306</v>
      </c>
      <c r="P1004" s="6">
        <f t="shared" si="82"/>
        <v>8.3446959367330237E-2</v>
      </c>
      <c r="Q1004" s="6">
        <f t="shared" si="83"/>
        <v>2.1829613295935257E-2</v>
      </c>
    </row>
    <row r="1005" spans="1:17" x14ac:dyDescent="0.25">
      <c r="A1005" s="3">
        <v>1004</v>
      </c>
      <c r="B1005" s="3" t="s">
        <v>57</v>
      </c>
      <c r="C1005" s="3" t="s">
        <v>58</v>
      </c>
      <c r="D1005" s="3" t="s">
        <v>103</v>
      </c>
      <c r="E1005" s="3">
        <v>8</v>
      </c>
      <c r="F1005" s="3">
        <v>2024</v>
      </c>
      <c r="G1005" s="9" t="s">
        <v>97</v>
      </c>
      <c r="H1005" s="3">
        <v>3900</v>
      </c>
      <c r="I1005" s="3">
        <v>3668</v>
      </c>
      <c r="J1005" s="3">
        <v>232</v>
      </c>
      <c r="K1005" s="3">
        <v>5.9</v>
      </c>
      <c r="L1005" s="3" t="s">
        <v>78</v>
      </c>
      <c r="M1005">
        <f t="shared" si="85"/>
        <v>3824.3333333333335</v>
      </c>
      <c r="N1005">
        <f t="shared" si="84"/>
        <v>3723.0344343693359</v>
      </c>
      <c r="O1005">
        <f t="shared" si="81"/>
        <v>232</v>
      </c>
      <c r="P1005" s="6">
        <f t="shared" si="82"/>
        <v>5.9487179487179485E-2</v>
      </c>
      <c r="Q1005" s="6">
        <f t="shared" si="83"/>
        <v>4.5375786059144628E-2</v>
      </c>
    </row>
    <row r="1006" spans="1:17" x14ac:dyDescent="0.25">
      <c r="A1006" s="2">
        <v>1005</v>
      </c>
      <c r="B1006" s="2" t="s">
        <v>57</v>
      </c>
      <c r="C1006" s="2" t="s">
        <v>58</v>
      </c>
      <c r="D1006" s="2" t="s">
        <v>103</v>
      </c>
      <c r="E1006" s="2">
        <v>9</v>
      </c>
      <c r="F1006" s="2">
        <v>2024</v>
      </c>
      <c r="G1006" s="8" t="s">
        <v>98</v>
      </c>
      <c r="H1006" s="2">
        <v>3737</v>
      </c>
      <c r="I1006" s="2">
        <v>3655</v>
      </c>
      <c r="J1006" s="2">
        <v>82</v>
      </c>
      <c r="K1006" s="2">
        <v>2.2000000000000002</v>
      </c>
      <c r="L1006" s="2" t="s">
        <v>83</v>
      </c>
      <c r="M1006">
        <f t="shared" si="85"/>
        <v>3744.6666666666665</v>
      </c>
      <c r="N1006">
        <f t="shared" si="84"/>
        <v>3776.1241040585351</v>
      </c>
      <c r="O1006">
        <f t="shared" si="81"/>
        <v>82</v>
      </c>
      <c r="P1006" s="6">
        <f t="shared" si="82"/>
        <v>2.1942734814021942E-2</v>
      </c>
      <c r="Q1006" s="6">
        <f t="shared" si="83"/>
        <v>1.0469388295032129E-2</v>
      </c>
    </row>
    <row r="1007" spans="1:17" x14ac:dyDescent="0.25">
      <c r="A1007" s="3">
        <v>1006</v>
      </c>
      <c r="B1007" s="3" t="s">
        <v>57</v>
      </c>
      <c r="C1007" s="3" t="s">
        <v>58</v>
      </c>
      <c r="D1007" s="3" t="s">
        <v>103</v>
      </c>
      <c r="E1007" s="3">
        <v>10</v>
      </c>
      <c r="F1007" s="3">
        <v>2024</v>
      </c>
      <c r="G1007" s="9" t="s">
        <v>99</v>
      </c>
      <c r="H1007" s="3">
        <v>4332</v>
      </c>
      <c r="I1007" s="3">
        <v>4461</v>
      </c>
      <c r="J1007" s="3">
        <v>-129</v>
      </c>
      <c r="K1007" s="3">
        <v>3</v>
      </c>
      <c r="L1007" s="3" t="s">
        <v>83</v>
      </c>
      <c r="M1007">
        <f t="shared" si="85"/>
        <v>3768</v>
      </c>
      <c r="N1007">
        <f t="shared" si="84"/>
        <v>3764.3868728409743</v>
      </c>
      <c r="O1007">
        <f t="shared" si="81"/>
        <v>129</v>
      </c>
      <c r="P1007" s="6">
        <f t="shared" si="82"/>
        <v>2.9778393351800554E-2</v>
      </c>
      <c r="Q1007" s="6">
        <f t="shared" si="83"/>
        <v>0.13102796102470585</v>
      </c>
    </row>
    <row r="1008" spans="1:17" x14ac:dyDescent="0.25">
      <c r="A1008" s="2">
        <v>1007</v>
      </c>
      <c r="B1008" s="2" t="s">
        <v>57</v>
      </c>
      <c r="C1008" s="2" t="s">
        <v>58</v>
      </c>
      <c r="D1008" s="2" t="s">
        <v>103</v>
      </c>
      <c r="E1008" s="2">
        <v>11</v>
      </c>
      <c r="F1008" s="2">
        <v>2024</v>
      </c>
      <c r="G1008" s="8" t="s">
        <v>100</v>
      </c>
      <c r="H1008" s="2">
        <v>4148</v>
      </c>
      <c r="I1008" s="2">
        <v>4312</v>
      </c>
      <c r="J1008" s="2">
        <v>-164</v>
      </c>
      <c r="K1008" s="2">
        <v>4</v>
      </c>
      <c r="L1008" s="2" t="s">
        <v>83</v>
      </c>
      <c r="M1008">
        <f t="shared" si="85"/>
        <v>3989.6666666666665</v>
      </c>
      <c r="N1008">
        <f t="shared" si="84"/>
        <v>3934.6708109886818</v>
      </c>
      <c r="O1008">
        <f t="shared" si="81"/>
        <v>164</v>
      </c>
      <c r="P1008" s="6">
        <f t="shared" si="82"/>
        <v>3.9537126325940211E-2</v>
      </c>
      <c r="Q1008" s="6">
        <f t="shared" si="83"/>
        <v>5.1429409115554062E-2</v>
      </c>
    </row>
    <row r="1009" spans="1:17" x14ac:dyDescent="0.25">
      <c r="A1009" s="3">
        <v>1008</v>
      </c>
      <c r="B1009" s="3" t="s">
        <v>57</v>
      </c>
      <c r="C1009" s="3" t="s">
        <v>58</v>
      </c>
      <c r="D1009" s="3" t="s">
        <v>103</v>
      </c>
      <c r="E1009" s="3">
        <v>12</v>
      </c>
      <c r="F1009" s="3">
        <v>2024</v>
      </c>
      <c r="G1009" s="9" t="s">
        <v>101</v>
      </c>
      <c r="H1009" s="3">
        <v>5340</v>
      </c>
      <c r="I1009" s="3">
        <v>5060</v>
      </c>
      <c r="J1009" s="3">
        <v>280</v>
      </c>
      <c r="K1009" s="3">
        <v>5.2</v>
      </c>
      <c r="L1009" s="3" t="s">
        <v>78</v>
      </c>
      <c r="M1009">
        <f t="shared" si="85"/>
        <v>4072.3333333333335</v>
      </c>
      <c r="N1009">
        <f t="shared" si="84"/>
        <v>3998.6695676920772</v>
      </c>
      <c r="O1009">
        <f t="shared" si="81"/>
        <v>280</v>
      </c>
      <c r="P1009" s="6">
        <f t="shared" si="82"/>
        <v>5.2434456928838954E-2</v>
      </c>
      <c r="Q1009" s="6">
        <f t="shared" si="83"/>
        <v>0.25118547421496684</v>
      </c>
    </row>
    <row r="1010" spans="1:17" x14ac:dyDescent="0.25">
      <c r="A1010" s="2">
        <v>1009</v>
      </c>
      <c r="B1010" s="2" t="s">
        <v>59</v>
      </c>
      <c r="C1010" s="2" t="s">
        <v>60</v>
      </c>
      <c r="D1010" s="2" t="s">
        <v>74</v>
      </c>
      <c r="E1010" s="2">
        <v>1</v>
      </c>
      <c r="F1010" s="2">
        <v>2023</v>
      </c>
      <c r="G1010" s="8" t="s">
        <v>75</v>
      </c>
      <c r="H1010" s="2">
        <v>612</v>
      </c>
      <c r="I1010" s="2">
        <v>603</v>
      </c>
      <c r="J1010" s="2">
        <v>9</v>
      </c>
      <c r="K1010" s="2">
        <v>1.5</v>
      </c>
      <c r="L1010" s="2" t="s">
        <v>76</v>
      </c>
      <c r="M1010">
        <f t="shared" si="85"/>
        <v>4606.666666666667</v>
      </c>
      <c r="N1010">
        <f t="shared" si="84"/>
        <v>4401.068697384454</v>
      </c>
      <c r="O1010">
        <f t="shared" si="81"/>
        <v>9</v>
      </c>
      <c r="P1010" s="6">
        <f t="shared" si="82"/>
        <v>1.4705882352941176E-2</v>
      </c>
      <c r="Q1010" s="6">
        <f t="shared" si="83"/>
        <v>6.191288721216428</v>
      </c>
    </row>
    <row r="1011" spans="1:17" x14ac:dyDescent="0.25">
      <c r="A1011" s="3">
        <v>1010</v>
      </c>
      <c r="B1011" s="3" t="s">
        <v>59</v>
      </c>
      <c r="C1011" s="3" t="s">
        <v>60</v>
      </c>
      <c r="D1011" s="3" t="s">
        <v>74</v>
      </c>
      <c r="E1011" s="3">
        <v>2</v>
      </c>
      <c r="F1011" s="3">
        <v>2023</v>
      </c>
      <c r="G1011" s="9" t="s">
        <v>77</v>
      </c>
      <c r="H1011" s="3">
        <v>673</v>
      </c>
      <c r="I1011" s="3">
        <v>613</v>
      </c>
      <c r="J1011" s="3">
        <v>60</v>
      </c>
      <c r="K1011" s="3">
        <v>8.9</v>
      </c>
      <c r="L1011" s="3" t="s">
        <v>83</v>
      </c>
      <c r="M1011">
        <f t="shared" si="85"/>
        <v>3366.6666666666665</v>
      </c>
      <c r="N1011">
        <f t="shared" si="84"/>
        <v>3264.3480881691175</v>
      </c>
      <c r="O1011">
        <f t="shared" si="81"/>
        <v>60</v>
      </c>
      <c r="P1011" s="6">
        <f t="shared" si="82"/>
        <v>8.9153046062407135E-2</v>
      </c>
      <c r="Q1011" s="6">
        <f t="shared" si="83"/>
        <v>3.8504429244711997</v>
      </c>
    </row>
    <row r="1012" spans="1:17" x14ac:dyDescent="0.25">
      <c r="A1012" s="2">
        <v>1011</v>
      </c>
      <c r="B1012" s="2" t="s">
        <v>59</v>
      </c>
      <c r="C1012" s="2" t="s">
        <v>60</v>
      </c>
      <c r="D1012" s="2" t="s">
        <v>74</v>
      </c>
      <c r="E1012" s="2">
        <v>3</v>
      </c>
      <c r="F1012" s="2">
        <v>2023</v>
      </c>
      <c r="G1012" s="8" t="s">
        <v>79</v>
      </c>
      <c r="H1012" s="2">
        <v>804</v>
      </c>
      <c r="I1012" s="2">
        <v>842</v>
      </c>
      <c r="J1012" s="2">
        <v>-38</v>
      </c>
      <c r="K1012" s="2">
        <v>4.7</v>
      </c>
      <c r="L1012" s="2" t="s">
        <v>78</v>
      </c>
      <c r="M1012">
        <f t="shared" si="85"/>
        <v>2208.3333333333335</v>
      </c>
      <c r="N1012">
        <f t="shared" si="84"/>
        <v>2486.9436617183824</v>
      </c>
      <c r="O1012">
        <f t="shared" si="81"/>
        <v>38</v>
      </c>
      <c r="P1012" s="6">
        <f t="shared" si="82"/>
        <v>4.7263681592039801E-2</v>
      </c>
      <c r="Q1012" s="6">
        <f t="shared" si="83"/>
        <v>2.0932135095999782</v>
      </c>
    </row>
    <row r="1013" spans="1:17" x14ac:dyDescent="0.25">
      <c r="A1013" s="3">
        <v>1012</v>
      </c>
      <c r="B1013" s="3" t="s">
        <v>59</v>
      </c>
      <c r="C1013" s="3" t="s">
        <v>60</v>
      </c>
      <c r="D1013" s="3" t="s">
        <v>74</v>
      </c>
      <c r="E1013" s="3">
        <v>4</v>
      </c>
      <c r="F1013" s="3">
        <v>2023</v>
      </c>
      <c r="G1013" s="9" t="s">
        <v>80</v>
      </c>
      <c r="H1013" s="3">
        <v>706</v>
      </c>
      <c r="I1013" s="3">
        <v>654</v>
      </c>
      <c r="J1013" s="3">
        <v>52</v>
      </c>
      <c r="K1013" s="3">
        <v>7.4</v>
      </c>
      <c r="L1013" s="3" t="s">
        <v>78</v>
      </c>
      <c r="M1013">
        <f t="shared" si="85"/>
        <v>696.33333333333337</v>
      </c>
      <c r="N1013">
        <f t="shared" si="84"/>
        <v>1982.0605632028676</v>
      </c>
      <c r="O1013">
        <f t="shared" si="81"/>
        <v>52</v>
      </c>
      <c r="P1013" s="6">
        <f t="shared" si="82"/>
        <v>7.3654390934844188E-2</v>
      </c>
      <c r="Q1013" s="6">
        <f t="shared" si="83"/>
        <v>1.8074512226669512</v>
      </c>
    </row>
    <row r="1014" spans="1:17" x14ac:dyDescent="0.25">
      <c r="A1014" s="2">
        <v>1013</v>
      </c>
      <c r="B1014" s="2" t="s">
        <v>59</v>
      </c>
      <c r="C1014" s="2" t="s">
        <v>60</v>
      </c>
      <c r="D1014" s="2" t="s">
        <v>74</v>
      </c>
      <c r="E1014" s="2">
        <v>5</v>
      </c>
      <c r="F1014" s="2">
        <v>2023</v>
      </c>
      <c r="G1014" s="8" t="s">
        <v>81</v>
      </c>
      <c r="H1014" s="2">
        <v>772</v>
      </c>
      <c r="I1014" s="2">
        <v>841</v>
      </c>
      <c r="J1014" s="2">
        <v>-69</v>
      </c>
      <c r="K1014" s="2">
        <v>8.9</v>
      </c>
      <c r="L1014" s="2" t="s">
        <v>83</v>
      </c>
      <c r="M1014">
        <f t="shared" si="85"/>
        <v>727.66666666666663</v>
      </c>
      <c r="N1014">
        <f t="shared" si="84"/>
        <v>1599.2423942420071</v>
      </c>
      <c r="O1014">
        <f t="shared" si="81"/>
        <v>69</v>
      </c>
      <c r="P1014" s="6">
        <f t="shared" si="82"/>
        <v>8.937823834196891E-2</v>
      </c>
      <c r="Q1014" s="6">
        <f t="shared" si="83"/>
        <v>1.0715575054948279</v>
      </c>
    </row>
    <row r="1015" spans="1:17" x14ac:dyDescent="0.25">
      <c r="A1015" s="3">
        <v>1014</v>
      </c>
      <c r="B1015" s="3" t="s">
        <v>59</v>
      </c>
      <c r="C1015" s="3" t="s">
        <v>60</v>
      </c>
      <c r="D1015" s="3" t="s">
        <v>74</v>
      </c>
      <c r="E1015" s="3">
        <v>6</v>
      </c>
      <c r="F1015" s="3">
        <v>2023</v>
      </c>
      <c r="G1015" s="9" t="s">
        <v>82</v>
      </c>
      <c r="H1015" s="3">
        <v>883</v>
      </c>
      <c r="I1015" s="3">
        <v>939</v>
      </c>
      <c r="J1015" s="3">
        <v>-56</v>
      </c>
      <c r="K1015" s="3">
        <v>6.3</v>
      </c>
      <c r="L1015" s="3" t="s">
        <v>76</v>
      </c>
      <c r="M1015">
        <f t="shared" si="85"/>
        <v>760.66666666666663</v>
      </c>
      <c r="N1015">
        <f t="shared" si="84"/>
        <v>1351.0696759694049</v>
      </c>
      <c r="O1015">
        <f t="shared" si="81"/>
        <v>56</v>
      </c>
      <c r="P1015" s="6">
        <f t="shared" si="82"/>
        <v>6.3420158550396372E-2</v>
      </c>
      <c r="Q1015" s="6">
        <f t="shared" si="83"/>
        <v>0.53009023326093418</v>
      </c>
    </row>
    <row r="1016" spans="1:17" x14ac:dyDescent="0.25">
      <c r="A1016" s="2">
        <v>1015</v>
      </c>
      <c r="B1016" s="2" t="s">
        <v>59</v>
      </c>
      <c r="C1016" s="2" t="s">
        <v>60</v>
      </c>
      <c r="D1016" s="2" t="s">
        <v>74</v>
      </c>
      <c r="E1016" s="2">
        <v>7</v>
      </c>
      <c r="F1016" s="2">
        <v>2023</v>
      </c>
      <c r="G1016" s="8" t="s">
        <v>84</v>
      </c>
      <c r="H1016" s="2">
        <v>794</v>
      </c>
      <c r="I1016" s="2">
        <v>734</v>
      </c>
      <c r="J1016" s="2">
        <v>60</v>
      </c>
      <c r="K1016" s="2">
        <v>7.6</v>
      </c>
      <c r="L1016" s="2" t="s">
        <v>76</v>
      </c>
      <c r="M1016">
        <f t="shared" si="85"/>
        <v>787</v>
      </c>
      <c r="N1016">
        <f t="shared" si="84"/>
        <v>1210.6487731785833</v>
      </c>
      <c r="O1016">
        <f t="shared" si="81"/>
        <v>60</v>
      </c>
      <c r="P1016" s="6">
        <f t="shared" si="82"/>
        <v>7.5566750629722929E-2</v>
      </c>
      <c r="Q1016" s="6">
        <f t="shared" si="83"/>
        <v>0.52474656571609979</v>
      </c>
    </row>
    <row r="1017" spans="1:17" x14ac:dyDescent="0.25">
      <c r="A1017" s="3">
        <v>1016</v>
      </c>
      <c r="B1017" s="3" t="s">
        <v>59</v>
      </c>
      <c r="C1017" s="3" t="s">
        <v>60</v>
      </c>
      <c r="D1017" s="3" t="s">
        <v>74</v>
      </c>
      <c r="E1017" s="3">
        <v>8</v>
      </c>
      <c r="F1017" s="3">
        <v>2023</v>
      </c>
      <c r="G1017" s="9" t="s">
        <v>85</v>
      </c>
      <c r="H1017" s="3">
        <v>886</v>
      </c>
      <c r="I1017" s="3">
        <v>818</v>
      </c>
      <c r="J1017" s="3">
        <v>68</v>
      </c>
      <c r="K1017" s="3">
        <v>7.7</v>
      </c>
      <c r="L1017" s="3" t="s">
        <v>78</v>
      </c>
      <c r="M1017">
        <f t="shared" si="85"/>
        <v>816.33333333333337</v>
      </c>
      <c r="N1017">
        <f t="shared" si="84"/>
        <v>1085.6541412250083</v>
      </c>
      <c r="O1017">
        <f t="shared" si="81"/>
        <v>68</v>
      </c>
      <c r="P1017" s="6">
        <f t="shared" si="82"/>
        <v>7.6749435665914217E-2</v>
      </c>
      <c r="Q1017" s="6">
        <f t="shared" si="83"/>
        <v>0.22534327452032538</v>
      </c>
    </row>
    <row r="1018" spans="1:17" x14ac:dyDescent="0.25">
      <c r="A1018" s="2">
        <v>1017</v>
      </c>
      <c r="B1018" s="2" t="s">
        <v>59</v>
      </c>
      <c r="C1018" s="2" t="s">
        <v>60</v>
      </c>
      <c r="D1018" s="2" t="s">
        <v>74</v>
      </c>
      <c r="E1018" s="2">
        <v>9</v>
      </c>
      <c r="F1018" s="2">
        <v>2023</v>
      </c>
      <c r="G1018" s="8" t="s">
        <v>86</v>
      </c>
      <c r="H1018" s="2">
        <v>768</v>
      </c>
      <c r="I1018" s="2">
        <v>757</v>
      </c>
      <c r="J1018" s="2">
        <v>11</v>
      </c>
      <c r="K1018" s="2">
        <v>1.4</v>
      </c>
      <c r="L1018" s="2" t="s">
        <v>83</v>
      </c>
      <c r="M1018">
        <f t="shared" si="85"/>
        <v>854.33333333333337</v>
      </c>
      <c r="N1018">
        <f t="shared" si="84"/>
        <v>1025.7578988575058</v>
      </c>
      <c r="O1018">
        <f t="shared" si="81"/>
        <v>11</v>
      </c>
      <c r="P1018" s="6">
        <f t="shared" si="82"/>
        <v>1.4322916666666666E-2</v>
      </c>
      <c r="Q1018" s="6">
        <f t="shared" si="83"/>
        <v>0.33562226413737734</v>
      </c>
    </row>
    <row r="1019" spans="1:17" x14ac:dyDescent="0.25">
      <c r="A1019" s="3">
        <v>1018</v>
      </c>
      <c r="B1019" s="3" t="s">
        <v>59</v>
      </c>
      <c r="C1019" s="3" t="s">
        <v>60</v>
      </c>
      <c r="D1019" s="3" t="s">
        <v>74</v>
      </c>
      <c r="E1019" s="3">
        <v>10</v>
      </c>
      <c r="F1019" s="3">
        <v>2023</v>
      </c>
      <c r="G1019" s="9" t="s">
        <v>87</v>
      </c>
      <c r="H1019" s="3">
        <v>787</v>
      </c>
      <c r="I1019" s="3">
        <v>820</v>
      </c>
      <c r="J1019" s="3">
        <v>-33</v>
      </c>
      <c r="K1019" s="3">
        <v>4.2</v>
      </c>
      <c r="L1019" s="3" t="s">
        <v>83</v>
      </c>
      <c r="M1019">
        <f t="shared" si="85"/>
        <v>816</v>
      </c>
      <c r="N1019">
        <f t="shared" si="84"/>
        <v>948.430529200254</v>
      </c>
      <c r="O1019">
        <f t="shared" si="81"/>
        <v>33</v>
      </c>
      <c r="P1019" s="6">
        <f t="shared" si="82"/>
        <v>4.1931385006353239E-2</v>
      </c>
      <c r="Q1019" s="6">
        <f t="shared" si="83"/>
        <v>0.20512138399015756</v>
      </c>
    </row>
    <row r="1020" spans="1:17" x14ac:dyDescent="0.25">
      <c r="A1020" s="2">
        <v>1019</v>
      </c>
      <c r="B1020" s="2" t="s">
        <v>59</v>
      </c>
      <c r="C1020" s="2" t="s">
        <v>60</v>
      </c>
      <c r="D1020" s="2" t="s">
        <v>74</v>
      </c>
      <c r="E1020" s="2">
        <v>11</v>
      </c>
      <c r="F1020" s="2">
        <v>2023</v>
      </c>
      <c r="G1020" s="8" t="s">
        <v>88</v>
      </c>
      <c r="H1020" s="2">
        <v>1030</v>
      </c>
      <c r="I1020" s="2">
        <v>1029</v>
      </c>
      <c r="J1020" s="2">
        <v>1</v>
      </c>
      <c r="K1020" s="2">
        <v>0.1</v>
      </c>
      <c r="L1020" s="2" t="s">
        <v>83</v>
      </c>
      <c r="M1020">
        <f t="shared" si="85"/>
        <v>813.66666666666663</v>
      </c>
      <c r="N1020">
        <f t="shared" si="84"/>
        <v>900.00137044017777</v>
      </c>
      <c r="O1020">
        <f t="shared" si="81"/>
        <v>1</v>
      </c>
      <c r="P1020" s="6">
        <f t="shared" si="82"/>
        <v>9.7087378640776695E-4</v>
      </c>
      <c r="Q1020" s="6">
        <f t="shared" si="83"/>
        <v>0.12621226170856528</v>
      </c>
    </row>
    <row r="1021" spans="1:17" x14ac:dyDescent="0.25">
      <c r="A1021" s="3">
        <v>1020</v>
      </c>
      <c r="B1021" s="3" t="s">
        <v>59</v>
      </c>
      <c r="C1021" s="3" t="s">
        <v>60</v>
      </c>
      <c r="D1021" s="3" t="s">
        <v>74</v>
      </c>
      <c r="E1021" s="3">
        <v>12</v>
      </c>
      <c r="F1021" s="3">
        <v>2023</v>
      </c>
      <c r="G1021" s="9" t="s">
        <v>89</v>
      </c>
      <c r="H1021" s="3">
        <v>1005</v>
      </c>
      <c r="I1021" s="3">
        <v>1004</v>
      </c>
      <c r="J1021" s="3">
        <v>1</v>
      </c>
      <c r="K1021" s="3">
        <v>0.1</v>
      </c>
      <c r="L1021" s="3" t="s">
        <v>83</v>
      </c>
      <c r="M1021">
        <f t="shared" si="85"/>
        <v>861.66666666666663</v>
      </c>
      <c r="N1021">
        <f t="shared" si="84"/>
        <v>939.00095930812438</v>
      </c>
      <c r="O1021">
        <f t="shared" si="81"/>
        <v>1</v>
      </c>
      <c r="P1021" s="6">
        <f t="shared" si="82"/>
        <v>9.9502487562189048E-4</v>
      </c>
      <c r="Q1021" s="6">
        <f t="shared" si="83"/>
        <v>6.5670687255597632E-2</v>
      </c>
    </row>
    <row r="1022" spans="1:17" x14ac:dyDescent="0.25">
      <c r="A1022" s="2">
        <v>1021</v>
      </c>
      <c r="B1022" s="2" t="s">
        <v>59</v>
      </c>
      <c r="C1022" s="2" t="s">
        <v>60</v>
      </c>
      <c r="D1022" s="2" t="s">
        <v>74</v>
      </c>
      <c r="E1022" s="2">
        <v>1</v>
      </c>
      <c r="F1022" s="2">
        <v>2024</v>
      </c>
      <c r="G1022" s="8" t="s">
        <v>90</v>
      </c>
      <c r="H1022" s="2">
        <v>625</v>
      </c>
      <c r="I1022" s="2">
        <v>582</v>
      </c>
      <c r="J1022" s="2">
        <v>43</v>
      </c>
      <c r="K1022" s="2">
        <v>6.9</v>
      </c>
      <c r="L1022" s="2" t="s">
        <v>78</v>
      </c>
      <c r="M1022">
        <f t="shared" si="85"/>
        <v>940.66666666666663</v>
      </c>
      <c r="N1022">
        <f t="shared" si="84"/>
        <v>958.80067151568699</v>
      </c>
      <c r="O1022">
        <f t="shared" si="81"/>
        <v>43</v>
      </c>
      <c r="P1022" s="6">
        <f t="shared" si="82"/>
        <v>6.88E-2</v>
      </c>
      <c r="Q1022" s="6">
        <f t="shared" si="83"/>
        <v>0.53408107442509922</v>
      </c>
    </row>
    <row r="1023" spans="1:17" x14ac:dyDescent="0.25">
      <c r="A1023" s="3">
        <v>1022</v>
      </c>
      <c r="B1023" s="3" t="s">
        <v>59</v>
      </c>
      <c r="C1023" s="3" t="s">
        <v>60</v>
      </c>
      <c r="D1023" s="3" t="s">
        <v>74</v>
      </c>
      <c r="E1023" s="3">
        <v>2</v>
      </c>
      <c r="F1023" s="3">
        <v>2024</v>
      </c>
      <c r="G1023" s="9" t="s">
        <v>91</v>
      </c>
      <c r="H1023" s="3">
        <v>718</v>
      </c>
      <c r="I1023" s="3">
        <v>743</v>
      </c>
      <c r="J1023" s="3">
        <v>-25</v>
      </c>
      <c r="K1023" s="3">
        <v>3.5</v>
      </c>
      <c r="L1023" s="3" t="s">
        <v>78</v>
      </c>
      <c r="M1023">
        <f t="shared" si="85"/>
        <v>886.66666666666663</v>
      </c>
      <c r="N1023">
        <f t="shared" si="84"/>
        <v>858.66047006098086</v>
      </c>
      <c r="O1023">
        <f t="shared" si="81"/>
        <v>25</v>
      </c>
      <c r="P1023" s="6">
        <f t="shared" si="82"/>
        <v>3.4818941504178275E-2</v>
      </c>
      <c r="Q1023" s="6">
        <f t="shared" si="83"/>
        <v>0.19590594716014048</v>
      </c>
    </row>
    <row r="1024" spans="1:17" x14ac:dyDescent="0.25">
      <c r="A1024" s="2">
        <v>1023</v>
      </c>
      <c r="B1024" s="2" t="s">
        <v>59</v>
      </c>
      <c r="C1024" s="2" t="s">
        <v>60</v>
      </c>
      <c r="D1024" s="2" t="s">
        <v>74</v>
      </c>
      <c r="E1024" s="2">
        <v>3</v>
      </c>
      <c r="F1024" s="2">
        <v>2024</v>
      </c>
      <c r="G1024" s="8" t="s">
        <v>92</v>
      </c>
      <c r="H1024" s="2">
        <v>710</v>
      </c>
      <c r="I1024" s="2">
        <v>711</v>
      </c>
      <c r="J1024" s="2">
        <v>-1</v>
      </c>
      <c r="K1024" s="2">
        <v>0.1</v>
      </c>
      <c r="L1024" s="2" t="s">
        <v>78</v>
      </c>
      <c r="M1024">
        <f t="shared" si="85"/>
        <v>782.66666666666663</v>
      </c>
      <c r="N1024">
        <f t="shared" si="84"/>
        <v>816.46232904268652</v>
      </c>
      <c r="O1024">
        <f t="shared" si="81"/>
        <v>1</v>
      </c>
      <c r="P1024" s="6">
        <f t="shared" si="82"/>
        <v>1.4084507042253522E-3</v>
      </c>
      <c r="Q1024" s="6">
        <f t="shared" si="83"/>
        <v>0.14994694231364297</v>
      </c>
    </row>
    <row r="1025" spans="1:17" x14ac:dyDescent="0.25">
      <c r="A1025" s="3">
        <v>1024</v>
      </c>
      <c r="B1025" s="3" t="s">
        <v>59</v>
      </c>
      <c r="C1025" s="3" t="s">
        <v>60</v>
      </c>
      <c r="D1025" s="3" t="s">
        <v>74</v>
      </c>
      <c r="E1025" s="3">
        <v>4</v>
      </c>
      <c r="F1025" s="3">
        <v>2024</v>
      </c>
      <c r="G1025" s="9" t="s">
        <v>93</v>
      </c>
      <c r="H1025" s="3">
        <v>868</v>
      </c>
      <c r="I1025" s="3">
        <v>783</v>
      </c>
      <c r="J1025" s="3">
        <v>85</v>
      </c>
      <c r="K1025" s="3">
        <v>9.8000000000000007</v>
      </c>
      <c r="L1025" s="3" t="s">
        <v>78</v>
      </c>
      <c r="M1025">
        <f t="shared" si="85"/>
        <v>684.33333333333337</v>
      </c>
      <c r="N1025">
        <f t="shared" si="84"/>
        <v>784.52363032988058</v>
      </c>
      <c r="O1025">
        <f t="shared" si="81"/>
        <v>85</v>
      </c>
      <c r="P1025" s="6">
        <f t="shared" si="82"/>
        <v>9.7926267281105997E-2</v>
      </c>
      <c r="Q1025" s="6">
        <f t="shared" si="83"/>
        <v>9.6170932799676756E-2</v>
      </c>
    </row>
    <row r="1026" spans="1:17" x14ac:dyDescent="0.25">
      <c r="A1026" s="2">
        <v>1025</v>
      </c>
      <c r="B1026" s="2" t="s">
        <v>59</v>
      </c>
      <c r="C1026" s="2" t="s">
        <v>60</v>
      </c>
      <c r="D1026" s="2" t="s">
        <v>74</v>
      </c>
      <c r="E1026" s="2">
        <v>5</v>
      </c>
      <c r="F1026" s="2">
        <v>2024</v>
      </c>
      <c r="G1026" s="8" t="s">
        <v>94</v>
      </c>
      <c r="H1026" s="2">
        <v>834</v>
      </c>
      <c r="I1026" s="2">
        <v>814</v>
      </c>
      <c r="J1026" s="2">
        <v>20</v>
      </c>
      <c r="K1026" s="2">
        <v>2.4</v>
      </c>
      <c r="L1026" s="2" t="s">
        <v>78</v>
      </c>
      <c r="M1026">
        <f t="shared" si="85"/>
        <v>765.33333333333337</v>
      </c>
      <c r="N1026">
        <f t="shared" si="84"/>
        <v>809.5665412309163</v>
      </c>
      <c r="O1026">
        <f t="shared" si="81"/>
        <v>20</v>
      </c>
      <c r="P1026" s="6">
        <f t="shared" si="82"/>
        <v>2.3980815347721823E-2</v>
      </c>
      <c r="Q1026" s="6">
        <f t="shared" si="83"/>
        <v>2.9296713152378535E-2</v>
      </c>
    </row>
    <row r="1027" spans="1:17" x14ac:dyDescent="0.25">
      <c r="A1027" s="3">
        <v>1026</v>
      </c>
      <c r="B1027" s="3" t="s">
        <v>59</v>
      </c>
      <c r="C1027" s="3" t="s">
        <v>60</v>
      </c>
      <c r="D1027" s="3" t="s">
        <v>74</v>
      </c>
      <c r="E1027" s="3">
        <v>6</v>
      </c>
      <c r="F1027" s="3">
        <v>2024</v>
      </c>
      <c r="G1027" s="9" t="s">
        <v>95</v>
      </c>
      <c r="H1027" s="3">
        <v>812</v>
      </c>
      <c r="I1027" s="3">
        <v>886</v>
      </c>
      <c r="J1027" s="3">
        <v>-74</v>
      </c>
      <c r="K1027" s="3">
        <v>9.1</v>
      </c>
      <c r="L1027" s="3" t="s">
        <v>78</v>
      </c>
      <c r="M1027">
        <f t="shared" si="85"/>
        <v>804</v>
      </c>
      <c r="N1027">
        <f t="shared" si="84"/>
        <v>816.89657886164127</v>
      </c>
      <c r="O1027">
        <f t="shared" ref="O1027:O1081" si="86">ABS(H1027-I1027)</f>
        <v>74</v>
      </c>
      <c r="P1027" s="6">
        <f t="shared" ref="P1027:P1081" si="87">ABS(O1027)/H1027</f>
        <v>9.1133004926108374E-2</v>
      </c>
      <c r="Q1027" s="6">
        <f t="shared" ref="Q1027:Q1081" si="88">ABS((H1027-N1027))/H1027</f>
        <v>6.0302695340409777E-3</v>
      </c>
    </row>
    <row r="1028" spans="1:17" x14ac:dyDescent="0.25">
      <c r="A1028" s="2">
        <v>1027</v>
      </c>
      <c r="B1028" s="2" t="s">
        <v>59</v>
      </c>
      <c r="C1028" s="2" t="s">
        <v>60</v>
      </c>
      <c r="D1028" s="2" t="s">
        <v>74</v>
      </c>
      <c r="E1028" s="2">
        <v>7</v>
      </c>
      <c r="F1028" s="2">
        <v>2024</v>
      </c>
      <c r="G1028" s="8" t="s">
        <v>96</v>
      </c>
      <c r="H1028" s="2">
        <v>874</v>
      </c>
      <c r="I1028" s="2">
        <v>946</v>
      </c>
      <c r="J1028" s="2">
        <v>-72</v>
      </c>
      <c r="K1028" s="2">
        <v>8.1999999999999993</v>
      </c>
      <c r="L1028" s="2" t="s">
        <v>83</v>
      </c>
      <c r="M1028">
        <f t="shared" si="85"/>
        <v>838</v>
      </c>
      <c r="N1028">
        <f t="shared" ref="N1028:N1081" si="89">0.3*H1027+(0.7*N1027)</f>
        <v>815.42760520314891</v>
      </c>
      <c r="O1028">
        <f t="shared" si="86"/>
        <v>72</v>
      </c>
      <c r="P1028" s="6">
        <f t="shared" si="87"/>
        <v>8.2379862700228831E-2</v>
      </c>
      <c r="Q1028" s="6">
        <f t="shared" si="88"/>
        <v>6.7016470019280419E-2</v>
      </c>
    </row>
    <row r="1029" spans="1:17" x14ac:dyDescent="0.25">
      <c r="A1029" s="3">
        <v>1028</v>
      </c>
      <c r="B1029" s="3" t="s">
        <v>59</v>
      </c>
      <c r="C1029" s="3" t="s">
        <v>60</v>
      </c>
      <c r="D1029" s="3" t="s">
        <v>74</v>
      </c>
      <c r="E1029" s="3">
        <v>8</v>
      </c>
      <c r="F1029" s="3">
        <v>2024</v>
      </c>
      <c r="G1029" s="9" t="s">
        <v>97</v>
      </c>
      <c r="H1029" s="3">
        <v>871</v>
      </c>
      <c r="I1029" s="3">
        <v>823</v>
      </c>
      <c r="J1029" s="3">
        <v>48</v>
      </c>
      <c r="K1029" s="3">
        <v>5.5</v>
      </c>
      <c r="L1029" s="3" t="s">
        <v>78</v>
      </c>
      <c r="M1029">
        <f t="shared" si="85"/>
        <v>840</v>
      </c>
      <c r="N1029">
        <f t="shared" si="89"/>
        <v>832.99932364220422</v>
      </c>
      <c r="O1029">
        <f t="shared" si="86"/>
        <v>48</v>
      </c>
      <c r="P1029" s="6">
        <f t="shared" si="87"/>
        <v>5.5109070034443167E-2</v>
      </c>
      <c r="Q1029" s="6">
        <f t="shared" si="88"/>
        <v>4.3628790307457845E-2</v>
      </c>
    </row>
    <row r="1030" spans="1:17" x14ac:dyDescent="0.25">
      <c r="A1030" s="2">
        <v>1029</v>
      </c>
      <c r="B1030" s="2" t="s">
        <v>59</v>
      </c>
      <c r="C1030" s="2" t="s">
        <v>60</v>
      </c>
      <c r="D1030" s="2" t="s">
        <v>74</v>
      </c>
      <c r="E1030" s="2">
        <v>9</v>
      </c>
      <c r="F1030" s="2">
        <v>2024</v>
      </c>
      <c r="G1030" s="8" t="s">
        <v>98</v>
      </c>
      <c r="H1030" s="2">
        <v>783</v>
      </c>
      <c r="I1030" s="2">
        <v>817</v>
      </c>
      <c r="J1030" s="2">
        <v>-34</v>
      </c>
      <c r="K1030" s="2">
        <v>4.3</v>
      </c>
      <c r="L1030" s="2" t="s">
        <v>76</v>
      </c>
      <c r="M1030">
        <f t="shared" ref="M1030:M1083" si="90">AVERAGE(H1027:H1029)</f>
        <v>852.33333333333337</v>
      </c>
      <c r="N1030">
        <f t="shared" si="89"/>
        <v>844.399526549543</v>
      </c>
      <c r="O1030">
        <f t="shared" si="86"/>
        <v>34</v>
      </c>
      <c r="P1030" s="6">
        <f t="shared" si="87"/>
        <v>4.3422733077905493E-2</v>
      </c>
      <c r="Q1030" s="6">
        <f t="shared" si="88"/>
        <v>7.8415742719722861E-2</v>
      </c>
    </row>
    <row r="1031" spans="1:17" x14ac:dyDescent="0.25">
      <c r="A1031" s="3">
        <v>1030</v>
      </c>
      <c r="B1031" s="3" t="s">
        <v>59</v>
      </c>
      <c r="C1031" s="3" t="s">
        <v>60</v>
      </c>
      <c r="D1031" s="3" t="s">
        <v>74</v>
      </c>
      <c r="E1031" s="3">
        <v>10</v>
      </c>
      <c r="F1031" s="3">
        <v>2024</v>
      </c>
      <c r="G1031" s="9" t="s">
        <v>99</v>
      </c>
      <c r="H1031" s="3">
        <v>948</v>
      </c>
      <c r="I1031" s="3">
        <v>961</v>
      </c>
      <c r="J1031" s="3">
        <v>-13</v>
      </c>
      <c r="K1031" s="3">
        <v>1.4</v>
      </c>
      <c r="L1031" s="3" t="s">
        <v>78</v>
      </c>
      <c r="M1031">
        <f t="shared" si="90"/>
        <v>842.66666666666663</v>
      </c>
      <c r="N1031">
        <f t="shared" si="89"/>
        <v>825.97966858467998</v>
      </c>
      <c r="O1031">
        <f t="shared" si="86"/>
        <v>13</v>
      </c>
      <c r="P1031" s="6">
        <f t="shared" si="87"/>
        <v>1.3713080168776372E-2</v>
      </c>
      <c r="Q1031" s="6">
        <f t="shared" si="88"/>
        <v>0.1287134297629958</v>
      </c>
    </row>
    <row r="1032" spans="1:17" x14ac:dyDescent="0.25">
      <c r="A1032" s="2">
        <v>1031</v>
      </c>
      <c r="B1032" s="2" t="s">
        <v>59</v>
      </c>
      <c r="C1032" s="2" t="s">
        <v>60</v>
      </c>
      <c r="D1032" s="2" t="s">
        <v>74</v>
      </c>
      <c r="E1032" s="2">
        <v>11</v>
      </c>
      <c r="F1032" s="2">
        <v>2024</v>
      </c>
      <c r="G1032" s="8" t="s">
        <v>100</v>
      </c>
      <c r="H1032" s="2">
        <v>1000</v>
      </c>
      <c r="I1032" s="2">
        <v>1080</v>
      </c>
      <c r="J1032" s="2">
        <v>-80</v>
      </c>
      <c r="K1032" s="2">
        <v>8</v>
      </c>
      <c r="L1032" s="2" t="s">
        <v>78</v>
      </c>
      <c r="M1032">
        <f t="shared" si="90"/>
        <v>867.33333333333337</v>
      </c>
      <c r="N1032">
        <f t="shared" si="89"/>
        <v>862.58576800927597</v>
      </c>
      <c r="O1032">
        <f t="shared" si="86"/>
        <v>80</v>
      </c>
      <c r="P1032" s="6">
        <f t="shared" si="87"/>
        <v>0.08</v>
      </c>
      <c r="Q1032" s="6">
        <f t="shared" si="88"/>
        <v>0.13741423199072403</v>
      </c>
    </row>
    <row r="1033" spans="1:17" x14ac:dyDescent="0.25">
      <c r="A1033" s="3">
        <v>1032</v>
      </c>
      <c r="B1033" s="3" t="s">
        <v>59</v>
      </c>
      <c r="C1033" s="3" t="s">
        <v>60</v>
      </c>
      <c r="D1033" s="3" t="s">
        <v>74</v>
      </c>
      <c r="E1033" s="3">
        <v>12</v>
      </c>
      <c r="F1033" s="3">
        <v>2024</v>
      </c>
      <c r="G1033" s="9" t="s">
        <v>101</v>
      </c>
      <c r="H1033" s="3">
        <v>970</v>
      </c>
      <c r="I1033" s="3">
        <v>973</v>
      </c>
      <c r="J1033" s="3">
        <v>-3</v>
      </c>
      <c r="K1033" s="3">
        <v>0.3</v>
      </c>
      <c r="L1033" s="3" t="s">
        <v>78</v>
      </c>
      <c r="M1033">
        <f t="shared" si="90"/>
        <v>910.33333333333337</v>
      </c>
      <c r="N1033">
        <f t="shared" si="89"/>
        <v>903.8100376064931</v>
      </c>
      <c r="O1033">
        <f t="shared" si="86"/>
        <v>3</v>
      </c>
      <c r="P1033" s="6">
        <f t="shared" si="87"/>
        <v>3.092783505154639E-3</v>
      </c>
      <c r="Q1033" s="6">
        <f t="shared" si="88"/>
        <v>6.823707463248134E-2</v>
      </c>
    </row>
    <row r="1034" spans="1:17" x14ac:dyDescent="0.25">
      <c r="A1034" s="2">
        <v>1033</v>
      </c>
      <c r="B1034" s="2" t="s">
        <v>59</v>
      </c>
      <c r="C1034" s="2" t="s">
        <v>60</v>
      </c>
      <c r="D1034" s="2" t="s">
        <v>102</v>
      </c>
      <c r="E1034" s="2">
        <v>1</v>
      </c>
      <c r="F1034" s="2">
        <v>2023</v>
      </c>
      <c r="G1034" s="8" t="s">
        <v>75</v>
      </c>
      <c r="H1034" s="2">
        <v>640</v>
      </c>
      <c r="I1034" s="2">
        <v>584</v>
      </c>
      <c r="J1034" s="2">
        <v>56</v>
      </c>
      <c r="K1034" s="2">
        <v>8.8000000000000007</v>
      </c>
      <c r="L1034" s="2" t="s">
        <v>76</v>
      </c>
      <c r="M1034">
        <f t="shared" si="90"/>
        <v>972.66666666666663</v>
      </c>
      <c r="N1034">
        <f t="shared" si="89"/>
        <v>923.66702632454508</v>
      </c>
      <c r="O1034">
        <f t="shared" si="86"/>
        <v>56</v>
      </c>
      <c r="P1034" s="6">
        <f t="shared" si="87"/>
        <v>8.7499999999999994E-2</v>
      </c>
      <c r="Q1034" s="6">
        <f t="shared" si="88"/>
        <v>0.44322972863210169</v>
      </c>
    </row>
    <row r="1035" spans="1:17" x14ac:dyDescent="0.25">
      <c r="A1035" s="3">
        <v>1034</v>
      </c>
      <c r="B1035" s="3" t="s">
        <v>59</v>
      </c>
      <c r="C1035" s="3" t="s">
        <v>60</v>
      </c>
      <c r="D1035" s="3" t="s">
        <v>102</v>
      </c>
      <c r="E1035" s="3">
        <v>2</v>
      </c>
      <c r="F1035" s="3">
        <v>2023</v>
      </c>
      <c r="G1035" s="9" t="s">
        <v>77</v>
      </c>
      <c r="H1035" s="3">
        <v>606</v>
      </c>
      <c r="I1035" s="3">
        <v>639</v>
      </c>
      <c r="J1035" s="3">
        <v>-33</v>
      </c>
      <c r="K1035" s="3">
        <v>5.4</v>
      </c>
      <c r="L1035" s="3" t="s">
        <v>76</v>
      </c>
      <c r="M1035">
        <f t="shared" si="90"/>
        <v>870</v>
      </c>
      <c r="N1035">
        <f t="shared" si="89"/>
        <v>838.56691842718146</v>
      </c>
      <c r="O1035">
        <f t="shared" si="86"/>
        <v>33</v>
      </c>
      <c r="P1035" s="6">
        <f t="shared" si="87"/>
        <v>5.4455445544554455E-2</v>
      </c>
      <c r="Q1035" s="6">
        <f t="shared" si="88"/>
        <v>0.38377379278412782</v>
      </c>
    </row>
    <row r="1036" spans="1:17" x14ac:dyDescent="0.25">
      <c r="A1036" s="2">
        <v>1035</v>
      </c>
      <c r="B1036" s="2" t="s">
        <v>59</v>
      </c>
      <c r="C1036" s="2" t="s">
        <v>60</v>
      </c>
      <c r="D1036" s="2" t="s">
        <v>102</v>
      </c>
      <c r="E1036" s="2">
        <v>3</v>
      </c>
      <c r="F1036" s="2">
        <v>2023</v>
      </c>
      <c r="G1036" s="8" t="s">
        <v>79</v>
      </c>
      <c r="H1036" s="2">
        <v>619</v>
      </c>
      <c r="I1036" s="2">
        <v>625</v>
      </c>
      <c r="J1036" s="2">
        <v>-6</v>
      </c>
      <c r="K1036" s="2">
        <v>1</v>
      </c>
      <c r="L1036" s="2" t="s">
        <v>78</v>
      </c>
      <c r="M1036">
        <f t="shared" si="90"/>
        <v>738.66666666666663</v>
      </c>
      <c r="N1036">
        <f t="shared" si="89"/>
        <v>768.79684289902696</v>
      </c>
      <c r="O1036">
        <f t="shared" si="86"/>
        <v>6</v>
      </c>
      <c r="P1036" s="6">
        <f t="shared" si="87"/>
        <v>9.6930533117932146E-3</v>
      </c>
      <c r="Q1036" s="6">
        <f t="shared" si="88"/>
        <v>0.24199813069309686</v>
      </c>
    </row>
    <row r="1037" spans="1:17" x14ac:dyDescent="0.25">
      <c r="A1037" s="3">
        <v>1036</v>
      </c>
      <c r="B1037" s="3" t="s">
        <v>59</v>
      </c>
      <c r="C1037" s="3" t="s">
        <v>60</v>
      </c>
      <c r="D1037" s="3" t="s">
        <v>102</v>
      </c>
      <c r="E1037" s="3">
        <v>4</v>
      </c>
      <c r="F1037" s="3">
        <v>2023</v>
      </c>
      <c r="G1037" s="9" t="s">
        <v>80</v>
      </c>
      <c r="H1037" s="3">
        <v>658</v>
      </c>
      <c r="I1037" s="3">
        <v>630</v>
      </c>
      <c r="J1037" s="3">
        <v>28</v>
      </c>
      <c r="K1037" s="3">
        <v>4.3</v>
      </c>
      <c r="L1037" s="3" t="s">
        <v>76</v>
      </c>
      <c r="M1037">
        <f t="shared" si="90"/>
        <v>621.66666666666663</v>
      </c>
      <c r="N1037">
        <f t="shared" si="89"/>
        <v>723.85779002931872</v>
      </c>
      <c r="O1037">
        <f t="shared" si="86"/>
        <v>28</v>
      </c>
      <c r="P1037" s="6">
        <f t="shared" si="87"/>
        <v>4.2553191489361701E-2</v>
      </c>
      <c r="Q1037" s="6">
        <f t="shared" si="88"/>
        <v>0.10008782679227769</v>
      </c>
    </row>
    <row r="1038" spans="1:17" x14ac:dyDescent="0.25">
      <c r="A1038" s="2">
        <v>1037</v>
      </c>
      <c r="B1038" s="2" t="s">
        <v>59</v>
      </c>
      <c r="C1038" s="2" t="s">
        <v>60</v>
      </c>
      <c r="D1038" s="2" t="s">
        <v>102</v>
      </c>
      <c r="E1038" s="2">
        <v>5</v>
      </c>
      <c r="F1038" s="2">
        <v>2023</v>
      </c>
      <c r="G1038" s="8" t="s">
        <v>81</v>
      </c>
      <c r="H1038" s="2">
        <v>755</v>
      </c>
      <c r="I1038" s="2">
        <v>716</v>
      </c>
      <c r="J1038" s="2">
        <v>39</v>
      </c>
      <c r="K1038" s="2">
        <v>5.2</v>
      </c>
      <c r="L1038" s="2" t="s">
        <v>76</v>
      </c>
      <c r="M1038">
        <f t="shared" si="90"/>
        <v>627.66666666666663</v>
      </c>
      <c r="N1038">
        <f t="shared" si="89"/>
        <v>704.1004530205231</v>
      </c>
      <c r="O1038">
        <f t="shared" si="86"/>
        <v>39</v>
      </c>
      <c r="P1038" s="6">
        <f t="shared" si="87"/>
        <v>5.1655629139072845E-2</v>
      </c>
      <c r="Q1038" s="6">
        <f t="shared" si="88"/>
        <v>6.7416618515863433E-2</v>
      </c>
    </row>
    <row r="1039" spans="1:17" x14ac:dyDescent="0.25">
      <c r="A1039" s="3">
        <v>1038</v>
      </c>
      <c r="B1039" s="3" t="s">
        <v>59</v>
      </c>
      <c r="C1039" s="3" t="s">
        <v>60</v>
      </c>
      <c r="D1039" s="3" t="s">
        <v>102</v>
      </c>
      <c r="E1039" s="3">
        <v>6</v>
      </c>
      <c r="F1039" s="3">
        <v>2023</v>
      </c>
      <c r="G1039" s="9" t="s">
        <v>82</v>
      </c>
      <c r="H1039" s="3">
        <v>764</v>
      </c>
      <c r="I1039" s="3">
        <v>762</v>
      </c>
      <c r="J1039" s="3">
        <v>2</v>
      </c>
      <c r="K1039" s="3">
        <v>0.3</v>
      </c>
      <c r="L1039" s="3" t="s">
        <v>78</v>
      </c>
      <c r="M1039">
        <f t="shared" si="90"/>
        <v>677.33333333333337</v>
      </c>
      <c r="N1039">
        <f t="shared" si="89"/>
        <v>719.37031711436612</v>
      </c>
      <c r="O1039">
        <f t="shared" si="86"/>
        <v>2</v>
      </c>
      <c r="P1039" s="6">
        <f t="shared" si="87"/>
        <v>2.617801047120419E-3</v>
      </c>
      <c r="Q1039" s="6">
        <f t="shared" si="88"/>
        <v>5.841581529533231E-2</v>
      </c>
    </row>
    <row r="1040" spans="1:17" x14ac:dyDescent="0.25">
      <c r="A1040" s="2">
        <v>1039</v>
      </c>
      <c r="B1040" s="2" t="s">
        <v>59</v>
      </c>
      <c r="C1040" s="2" t="s">
        <v>60</v>
      </c>
      <c r="D1040" s="2" t="s">
        <v>102</v>
      </c>
      <c r="E1040" s="2">
        <v>7</v>
      </c>
      <c r="F1040" s="2">
        <v>2023</v>
      </c>
      <c r="G1040" s="8" t="s">
        <v>84</v>
      </c>
      <c r="H1040" s="2">
        <v>775</v>
      </c>
      <c r="I1040" s="2">
        <v>782</v>
      </c>
      <c r="J1040" s="2">
        <v>-7</v>
      </c>
      <c r="K1040" s="2">
        <v>0.9</v>
      </c>
      <c r="L1040" s="2" t="s">
        <v>78</v>
      </c>
      <c r="M1040">
        <f t="shared" si="90"/>
        <v>725.66666666666663</v>
      </c>
      <c r="N1040">
        <f t="shared" si="89"/>
        <v>732.75922198005628</v>
      </c>
      <c r="O1040">
        <f t="shared" si="86"/>
        <v>7</v>
      </c>
      <c r="P1040" s="6">
        <f t="shared" si="87"/>
        <v>9.0322580645161299E-3</v>
      </c>
      <c r="Q1040" s="6">
        <f t="shared" si="88"/>
        <v>5.4504229703153183E-2</v>
      </c>
    </row>
    <row r="1041" spans="1:17" x14ac:dyDescent="0.25">
      <c r="A1041" s="3">
        <v>1040</v>
      </c>
      <c r="B1041" s="3" t="s">
        <v>59</v>
      </c>
      <c r="C1041" s="3" t="s">
        <v>60</v>
      </c>
      <c r="D1041" s="3" t="s">
        <v>102</v>
      </c>
      <c r="E1041" s="3">
        <v>8</v>
      </c>
      <c r="F1041" s="3">
        <v>2023</v>
      </c>
      <c r="G1041" s="9" t="s">
        <v>85</v>
      </c>
      <c r="H1041" s="3">
        <v>654</v>
      </c>
      <c r="I1041" s="3">
        <v>710</v>
      </c>
      <c r="J1041" s="3">
        <v>-56</v>
      </c>
      <c r="K1041" s="3">
        <v>8.6</v>
      </c>
      <c r="L1041" s="3" t="s">
        <v>78</v>
      </c>
      <c r="M1041">
        <f t="shared" si="90"/>
        <v>764.66666666666663</v>
      </c>
      <c r="N1041">
        <f t="shared" si="89"/>
        <v>745.43145538603937</v>
      </c>
      <c r="O1041">
        <f t="shared" si="86"/>
        <v>56</v>
      </c>
      <c r="P1041" s="6">
        <f t="shared" si="87"/>
        <v>8.5626911314984705E-2</v>
      </c>
      <c r="Q1041" s="6">
        <f t="shared" si="88"/>
        <v>0.13980344860250668</v>
      </c>
    </row>
    <row r="1042" spans="1:17" x14ac:dyDescent="0.25">
      <c r="A1042" s="2">
        <v>1041</v>
      </c>
      <c r="B1042" s="2" t="s">
        <v>59</v>
      </c>
      <c r="C1042" s="2" t="s">
        <v>60</v>
      </c>
      <c r="D1042" s="2" t="s">
        <v>102</v>
      </c>
      <c r="E1042" s="2">
        <v>9</v>
      </c>
      <c r="F1042" s="2">
        <v>2023</v>
      </c>
      <c r="G1042" s="8" t="s">
        <v>86</v>
      </c>
      <c r="H1042" s="2">
        <v>636</v>
      </c>
      <c r="I1042" s="2">
        <v>616</v>
      </c>
      <c r="J1042" s="2">
        <v>20</v>
      </c>
      <c r="K1042" s="2">
        <v>3.1</v>
      </c>
      <c r="L1042" s="2" t="s">
        <v>83</v>
      </c>
      <c r="M1042">
        <f t="shared" si="90"/>
        <v>731</v>
      </c>
      <c r="N1042">
        <f t="shared" si="89"/>
        <v>718.00201877022755</v>
      </c>
      <c r="O1042">
        <f t="shared" si="86"/>
        <v>20</v>
      </c>
      <c r="P1042" s="6">
        <f t="shared" si="87"/>
        <v>3.1446540880503145E-2</v>
      </c>
      <c r="Q1042" s="6">
        <f t="shared" si="88"/>
        <v>0.12893399177708734</v>
      </c>
    </row>
    <row r="1043" spans="1:17" x14ac:dyDescent="0.25">
      <c r="A1043" s="3">
        <v>1042</v>
      </c>
      <c r="B1043" s="3" t="s">
        <v>59</v>
      </c>
      <c r="C1043" s="3" t="s">
        <v>60</v>
      </c>
      <c r="D1043" s="3" t="s">
        <v>102</v>
      </c>
      <c r="E1043" s="3">
        <v>10</v>
      </c>
      <c r="F1043" s="3">
        <v>2023</v>
      </c>
      <c r="G1043" s="9" t="s">
        <v>87</v>
      </c>
      <c r="H1043" s="3">
        <v>815</v>
      </c>
      <c r="I1043" s="3">
        <v>888</v>
      </c>
      <c r="J1043" s="3">
        <v>-73</v>
      </c>
      <c r="K1043" s="3">
        <v>9</v>
      </c>
      <c r="L1043" s="3" t="s">
        <v>78</v>
      </c>
      <c r="M1043">
        <f t="shared" si="90"/>
        <v>688.33333333333337</v>
      </c>
      <c r="N1043">
        <f t="shared" si="89"/>
        <v>693.40141313915922</v>
      </c>
      <c r="O1043">
        <f t="shared" si="86"/>
        <v>73</v>
      </c>
      <c r="P1043" s="6">
        <f t="shared" si="87"/>
        <v>8.957055214723926E-2</v>
      </c>
      <c r="Q1043" s="6">
        <f t="shared" si="88"/>
        <v>0.14920072007465127</v>
      </c>
    </row>
    <row r="1044" spans="1:17" x14ac:dyDescent="0.25">
      <c r="A1044" s="2">
        <v>1043</v>
      </c>
      <c r="B1044" s="2" t="s">
        <v>59</v>
      </c>
      <c r="C1044" s="2" t="s">
        <v>60</v>
      </c>
      <c r="D1044" s="2" t="s">
        <v>102</v>
      </c>
      <c r="E1044" s="2">
        <v>11</v>
      </c>
      <c r="F1044" s="2">
        <v>2023</v>
      </c>
      <c r="G1044" s="8" t="s">
        <v>88</v>
      </c>
      <c r="H1044" s="2">
        <v>902</v>
      </c>
      <c r="I1044" s="2">
        <v>879</v>
      </c>
      <c r="J1044" s="2">
        <v>23</v>
      </c>
      <c r="K1044" s="2">
        <v>2.5</v>
      </c>
      <c r="L1044" s="2" t="s">
        <v>83</v>
      </c>
      <c r="M1044">
        <f t="shared" si="90"/>
        <v>701.66666666666663</v>
      </c>
      <c r="N1044">
        <f t="shared" si="89"/>
        <v>729.8809891974114</v>
      </c>
      <c r="O1044">
        <f t="shared" si="86"/>
        <v>23</v>
      </c>
      <c r="P1044" s="6">
        <f t="shared" si="87"/>
        <v>2.5498891352549888E-2</v>
      </c>
      <c r="Q1044" s="6">
        <f t="shared" si="88"/>
        <v>0.19081930244189424</v>
      </c>
    </row>
    <row r="1045" spans="1:17" x14ac:dyDescent="0.25">
      <c r="A1045" s="3">
        <v>1044</v>
      </c>
      <c r="B1045" s="3" t="s">
        <v>59</v>
      </c>
      <c r="C1045" s="3" t="s">
        <v>60</v>
      </c>
      <c r="D1045" s="3" t="s">
        <v>102</v>
      </c>
      <c r="E1045" s="3">
        <v>12</v>
      </c>
      <c r="F1045" s="3">
        <v>2023</v>
      </c>
      <c r="G1045" s="9" t="s">
        <v>89</v>
      </c>
      <c r="H1045" s="3">
        <v>932</v>
      </c>
      <c r="I1045" s="3">
        <v>858</v>
      </c>
      <c r="J1045" s="3">
        <v>74</v>
      </c>
      <c r="K1045" s="3">
        <v>7.9</v>
      </c>
      <c r="L1045" s="3" t="s">
        <v>83</v>
      </c>
      <c r="M1045">
        <f t="shared" si="90"/>
        <v>784.33333333333337</v>
      </c>
      <c r="N1045">
        <f t="shared" si="89"/>
        <v>781.51669243818787</v>
      </c>
      <c r="O1045">
        <f t="shared" si="86"/>
        <v>74</v>
      </c>
      <c r="P1045" s="6">
        <f t="shared" si="87"/>
        <v>7.9399141630901282E-2</v>
      </c>
      <c r="Q1045" s="6">
        <f t="shared" si="88"/>
        <v>0.16146277635387568</v>
      </c>
    </row>
    <row r="1046" spans="1:17" x14ac:dyDescent="0.25">
      <c r="A1046" s="2">
        <v>1045</v>
      </c>
      <c r="B1046" s="2" t="s">
        <v>59</v>
      </c>
      <c r="C1046" s="2" t="s">
        <v>60</v>
      </c>
      <c r="D1046" s="2" t="s">
        <v>102</v>
      </c>
      <c r="E1046" s="2">
        <v>1</v>
      </c>
      <c r="F1046" s="2">
        <v>2024</v>
      </c>
      <c r="G1046" s="8" t="s">
        <v>90</v>
      </c>
      <c r="H1046" s="2">
        <v>645</v>
      </c>
      <c r="I1046" s="2">
        <v>634</v>
      </c>
      <c r="J1046" s="2">
        <v>11</v>
      </c>
      <c r="K1046" s="2">
        <v>1.7</v>
      </c>
      <c r="L1046" s="2" t="s">
        <v>78</v>
      </c>
      <c r="M1046">
        <f t="shared" si="90"/>
        <v>883</v>
      </c>
      <c r="N1046">
        <f t="shared" si="89"/>
        <v>826.66168470673142</v>
      </c>
      <c r="O1046">
        <f t="shared" si="86"/>
        <v>11</v>
      </c>
      <c r="P1046" s="6">
        <f t="shared" si="87"/>
        <v>1.7054263565891473E-2</v>
      </c>
      <c r="Q1046" s="6">
        <f t="shared" si="88"/>
        <v>0.28164602280113399</v>
      </c>
    </row>
    <row r="1047" spans="1:17" x14ac:dyDescent="0.25">
      <c r="A1047" s="3">
        <v>1046</v>
      </c>
      <c r="B1047" s="3" t="s">
        <v>59</v>
      </c>
      <c r="C1047" s="3" t="s">
        <v>60</v>
      </c>
      <c r="D1047" s="3" t="s">
        <v>102</v>
      </c>
      <c r="E1047" s="3">
        <v>2</v>
      </c>
      <c r="F1047" s="3">
        <v>2024</v>
      </c>
      <c r="G1047" s="9" t="s">
        <v>91</v>
      </c>
      <c r="H1047" s="3">
        <v>620</v>
      </c>
      <c r="I1047" s="3">
        <v>575</v>
      </c>
      <c r="J1047" s="3">
        <v>45</v>
      </c>
      <c r="K1047" s="3">
        <v>7.3</v>
      </c>
      <c r="L1047" s="3" t="s">
        <v>76</v>
      </c>
      <c r="M1047">
        <f t="shared" si="90"/>
        <v>826.33333333333337</v>
      </c>
      <c r="N1047">
        <f t="shared" si="89"/>
        <v>772.16317929471199</v>
      </c>
      <c r="O1047">
        <f t="shared" si="86"/>
        <v>45</v>
      </c>
      <c r="P1047" s="6">
        <f t="shared" si="87"/>
        <v>7.2580645161290328E-2</v>
      </c>
      <c r="Q1047" s="6">
        <f t="shared" si="88"/>
        <v>0.24542448273340645</v>
      </c>
    </row>
    <row r="1048" spans="1:17" x14ac:dyDescent="0.25">
      <c r="A1048" s="2">
        <v>1047</v>
      </c>
      <c r="B1048" s="2" t="s">
        <v>59</v>
      </c>
      <c r="C1048" s="2" t="s">
        <v>60</v>
      </c>
      <c r="D1048" s="2" t="s">
        <v>102</v>
      </c>
      <c r="E1048" s="2">
        <v>3</v>
      </c>
      <c r="F1048" s="2">
        <v>2024</v>
      </c>
      <c r="G1048" s="8" t="s">
        <v>92</v>
      </c>
      <c r="H1048" s="2">
        <v>582</v>
      </c>
      <c r="I1048" s="2">
        <v>631</v>
      </c>
      <c r="J1048" s="2">
        <v>-49</v>
      </c>
      <c r="K1048" s="2">
        <v>8.4</v>
      </c>
      <c r="L1048" s="2" t="s">
        <v>83</v>
      </c>
      <c r="M1048">
        <f t="shared" si="90"/>
        <v>732.33333333333337</v>
      </c>
      <c r="N1048">
        <f t="shared" si="89"/>
        <v>726.51422550629832</v>
      </c>
      <c r="O1048">
        <f t="shared" si="86"/>
        <v>49</v>
      </c>
      <c r="P1048" s="6">
        <f t="shared" si="87"/>
        <v>8.4192439862542962E-2</v>
      </c>
      <c r="Q1048" s="6">
        <f t="shared" si="88"/>
        <v>0.24830622939226515</v>
      </c>
    </row>
    <row r="1049" spans="1:17" x14ac:dyDescent="0.25">
      <c r="A1049" s="3">
        <v>1048</v>
      </c>
      <c r="B1049" s="3" t="s">
        <v>59</v>
      </c>
      <c r="C1049" s="3" t="s">
        <v>60</v>
      </c>
      <c r="D1049" s="3" t="s">
        <v>102</v>
      </c>
      <c r="E1049" s="3">
        <v>4</v>
      </c>
      <c r="F1049" s="3">
        <v>2024</v>
      </c>
      <c r="G1049" s="9" t="s">
        <v>93</v>
      </c>
      <c r="H1049" s="3">
        <v>665</v>
      </c>
      <c r="I1049" s="3">
        <v>717</v>
      </c>
      <c r="J1049" s="3">
        <v>-52</v>
      </c>
      <c r="K1049" s="3">
        <v>7.8</v>
      </c>
      <c r="L1049" s="3" t="s">
        <v>76</v>
      </c>
      <c r="M1049">
        <f t="shared" si="90"/>
        <v>615.66666666666663</v>
      </c>
      <c r="N1049">
        <f t="shared" si="89"/>
        <v>683.15995785440873</v>
      </c>
      <c r="O1049">
        <f t="shared" si="86"/>
        <v>52</v>
      </c>
      <c r="P1049" s="6">
        <f t="shared" si="87"/>
        <v>7.8195488721804512E-2</v>
      </c>
      <c r="Q1049" s="6">
        <f t="shared" si="88"/>
        <v>2.7308207299862754E-2</v>
      </c>
    </row>
    <row r="1050" spans="1:17" x14ac:dyDescent="0.25">
      <c r="A1050" s="2">
        <v>1049</v>
      </c>
      <c r="B1050" s="2" t="s">
        <v>59</v>
      </c>
      <c r="C1050" s="2" t="s">
        <v>60</v>
      </c>
      <c r="D1050" s="2" t="s">
        <v>102</v>
      </c>
      <c r="E1050" s="2">
        <v>5</v>
      </c>
      <c r="F1050" s="2">
        <v>2024</v>
      </c>
      <c r="G1050" s="8" t="s">
        <v>94</v>
      </c>
      <c r="H1050" s="2">
        <v>795</v>
      </c>
      <c r="I1050" s="2">
        <v>728</v>
      </c>
      <c r="J1050" s="2">
        <v>67</v>
      </c>
      <c r="K1050" s="2">
        <v>8.4</v>
      </c>
      <c r="L1050" s="2" t="s">
        <v>78</v>
      </c>
      <c r="M1050">
        <f t="shared" si="90"/>
        <v>622.33333333333337</v>
      </c>
      <c r="N1050">
        <f t="shared" si="89"/>
        <v>677.71197049808609</v>
      </c>
      <c r="O1050">
        <f t="shared" si="86"/>
        <v>67</v>
      </c>
      <c r="P1050" s="6">
        <f t="shared" si="87"/>
        <v>8.4276729559748423E-2</v>
      </c>
      <c r="Q1050" s="6">
        <f t="shared" si="88"/>
        <v>0.14753211258102378</v>
      </c>
    </row>
    <row r="1051" spans="1:17" x14ac:dyDescent="0.25">
      <c r="A1051" s="3">
        <v>1050</v>
      </c>
      <c r="B1051" s="3" t="s">
        <v>59</v>
      </c>
      <c r="C1051" s="3" t="s">
        <v>60</v>
      </c>
      <c r="D1051" s="3" t="s">
        <v>102</v>
      </c>
      <c r="E1051" s="3">
        <v>6</v>
      </c>
      <c r="F1051" s="3">
        <v>2024</v>
      </c>
      <c r="G1051" s="9" t="s">
        <v>95</v>
      </c>
      <c r="H1051" s="3">
        <v>748</v>
      </c>
      <c r="I1051" s="3">
        <v>768</v>
      </c>
      <c r="J1051" s="3">
        <v>-20</v>
      </c>
      <c r="K1051" s="3">
        <v>2.7</v>
      </c>
      <c r="L1051" s="3" t="s">
        <v>76</v>
      </c>
      <c r="M1051">
        <f t="shared" si="90"/>
        <v>680.66666666666663</v>
      </c>
      <c r="N1051">
        <f t="shared" si="89"/>
        <v>712.89837934866023</v>
      </c>
      <c r="O1051">
        <f t="shared" si="86"/>
        <v>20</v>
      </c>
      <c r="P1051" s="6">
        <f t="shared" si="87"/>
        <v>2.6737967914438502E-2</v>
      </c>
      <c r="Q1051" s="6">
        <f t="shared" si="88"/>
        <v>4.6927300336015741E-2</v>
      </c>
    </row>
    <row r="1052" spans="1:17" x14ac:dyDescent="0.25">
      <c r="A1052" s="2">
        <v>1051</v>
      </c>
      <c r="B1052" s="2" t="s">
        <v>59</v>
      </c>
      <c r="C1052" s="2" t="s">
        <v>60</v>
      </c>
      <c r="D1052" s="2" t="s">
        <v>102</v>
      </c>
      <c r="E1052" s="2">
        <v>7</v>
      </c>
      <c r="F1052" s="2">
        <v>2024</v>
      </c>
      <c r="G1052" s="8" t="s">
        <v>96</v>
      </c>
      <c r="H1052" s="2">
        <v>659</v>
      </c>
      <c r="I1052" s="2">
        <v>667</v>
      </c>
      <c r="J1052" s="2">
        <v>-8</v>
      </c>
      <c r="K1052" s="2">
        <v>1.2</v>
      </c>
      <c r="L1052" s="2" t="s">
        <v>76</v>
      </c>
      <c r="M1052">
        <f t="shared" si="90"/>
        <v>736</v>
      </c>
      <c r="N1052">
        <f t="shared" si="89"/>
        <v>723.42886554406209</v>
      </c>
      <c r="O1052">
        <f t="shared" si="86"/>
        <v>8</v>
      </c>
      <c r="P1052" s="6">
        <f t="shared" si="87"/>
        <v>1.2139605462822459E-2</v>
      </c>
      <c r="Q1052" s="6">
        <f t="shared" si="88"/>
        <v>9.7767626015268727E-2</v>
      </c>
    </row>
    <row r="1053" spans="1:17" x14ac:dyDescent="0.25">
      <c r="A1053" s="3">
        <v>1052</v>
      </c>
      <c r="B1053" s="3" t="s">
        <v>59</v>
      </c>
      <c r="C1053" s="3" t="s">
        <v>60</v>
      </c>
      <c r="D1053" s="3" t="s">
        <v>102</v>
      </c>
      <c r="E1053" s="3">
        <v>8</v>
      </c>
      <c r="F1053" s="3">
        <v>2024</v>
      </c>
      <c r="G1053" s="9" t="s">
        <v>97</v>
      </c>
      <c r="H1053" s="3">
        <v>741</v>
      </c>
      <c r="I1053" s="3">
        <v>686</v>
      </c>
      <c r="J1053" s="3">
        <v>55</v>
      </c>
      <c r="K1053" s="3">
        <v>7.4</v>
      </c>
      <c r="L1053" s="3" t="s">
        <v>76</v>
      </c>
      <c r="M1053">
        <f t="shared" si="90"/>
        <v>734</v>
      </c>
      <c r="N1053">
        <f t="shared" si="89"/>
        <v>704.10020588084342</v>
      </c>
      <c r="O1053">
        <f t="shared" si="86"/>
        <v>55</v>
      </c>
      <c r="P1053" s="6">
        <f t="shared" si="87"/>
        <v>7.4224021592442652E-2</v>
      </c>
      <c r="Q1053" s="6">
        <f t="shared" si="88"/>
        <v>4.9797293008308478E-2</v>
      </c>
    </row>
    <row r="1054" spans="1:17" x14ac:dyDescent="0.25">
      <c r="A1054" s="2">
        <v>1053</v>
      </c>
      <c r="B1054" s="2" t="s">
        <v>59</v>
      </c>
      <c r="C1054" s="2" t="s">
        <v>60</v>
      </c>
      <c r="D1054" s="2" t="s">
        <v>102</v>
      </c>
      <c r="E1054" s="2">
        <v>9</v>
      </c>
      <c r="F1054" s="2">
        <v>2024</v>
      </c>
      <c r="G1054" s="8" t="s">
        <v>98</v>
      </c>
      <c r="H1054" s="2">
        <v>640</v>
      </c>
      <c r="I1054" s="2">
        <v>616</v>
      </c>
      <c r="J1054" s="2">
        <v>24</v>
      </c>
      <c r="K1054" s="2">
        <v>3.8</v>
      </c>
      <c r="L1054" s="2" t="s">
        <v>76</v>
      </c>
      <c r="M1054">
        <f t="shared" si="90"/>
        <v>716</v>
      </c>
      <c r="N1054">
        <f t="shared" si="89"/>
        <v>715.17014411659034</v>
      </c>
      <c r="O1054">
        <f t="shared" si="86"/>
        <v>24</v>
      </c>
      <c r="P1054" s="6">
        <f t="shared" si="87"/>
        <v>3.7499999999999999E-2</v>
      </c>
      <c r="Q1054" s="6">
        <f t="shared" si="88"/>
        <v>0.1174533501821724</v>
      </c>
    </row>
    <row r="1055" spans="1:17" x14ac:dyDescent="0.25">
      <c r="A1055" s="3">
        <v>1054</v>
      </c>
      <c r="B1055" s="3" t="s">
        <v>59</v>
      </c>
      <c r="C1055" s="3" t="s">
        <v>60</v>
      </c>
      <c r="D1055" s="3" t="s">
        <v>102</v>
      </c>
      <c r="E1055" s="3">
        <v>10</v>
      </c>
      <c r="F1055" s="3">
        <v>2024</v>
      </c>
      <c r="G1055" s="9" t="s">
        <v>99</v>
      </c>
      <c r="H1055" s="3">
        <v>784</v>
      </c>
      <c r="I1055" s="3">
        <v>820</v>
      </c>
      <c r="J1055" s="3">
        <v>-36</v>
      </c>
      <c r="K1055" s="3">
        <v>4.5999999999999996</v>
      </c>
      <c r="L1055" s="3" t="s">
        <v>76</v>
      </c>
      <c r="M1055">
        <f t="shared" si="90"/>
        <v>680</v>
      </c>
      <c r="N1055">
        <f t="shared" si="89"/>
        <v>692.61910088161312</v>
      </c>
      <c r="O1055">
        <f t="shared" si="86"/>
        <v>36</v>
      </c>
      <c r="P1055" s="6">
        <f t="shared" si="87"/>
        <v>4.5918367346938778E-2</v>
      </c>
      <c r="Q1055" s="6">
        <f t="shared" si="88"/>
        <v>0.11655726928365673</v>
      </c>
    </row>
    <row r="1056" spans="1:17" x14ac:dyDescent="0.25">
      <c r="A1056" s="2">
        <v>1055</v>
      </c>
      <c r="B1056" s="2" t="s">
        <v>59</v>
      </c>
      <c r="C1056" s="2" t="s">
        <v>60</v>
      </c>
      <c r="D1056" s="2" t="s">
        <v>102</v>
      </c>
      <c r="E1056" s="2">
        <v>11</v>
      </c>
      <c r="F1056" s="2">
        <v>2024</v>
      </c>
      <c r="G1056" s="8" t="s">
        <v>100</v>
      </c>
      <c r="H1056" s="2">
        <v>840</v>
      </c>
      <c r="I1056" s="2">
        <v>795</v>
      </c>
      <c r="J1056" s="2">
        <v>45</v>
      </c>
      <c r="K1056" s="2">
        <v>5.4</v>
      </c>
      <c r="L1056" s="2" t="s">
        <v>78</v>
      </c>
      <c r="M1056">
        <f t="shared" si="90"/>
        <v>721.66666666666663</v>
      </c>
      <c r="N1056">
        <f t="shared" si="89"/>
        <v>720.03337061712909</v>
      </c>
      <c r="O1056">
        <f t="shared" si="86"/>
        <v>45</v>
      </c>
      <c r="P1056" s="6">
        <f t="shared" si="87"/>
        <v>5.3571428571428568E-2</v>
      </c>
      <c r="Q1056" s="6">
        <f t="shared" si="88"/>
        <v>0.14281741593198918</v>
      </c>
    </row>
    <row r="1057" spans="1:17" x14ac:dyDescent="0.25">
      <c r="A1057" s="3">
        <v>1056</v>
      </c>
      <c r="B1057" s="3" t="s">
        <v>59</v>
      </c>
      <c r="C1057" s="3" t="s">
        <v>60</v>
      </c>
      <c r="D1057" s="3" t="s">
        <v>102</v>
      </c>
      <c r="E1057" s="3">
        <v>12</v>
      </c>
      <c r="F1057" s="3">
        <v>2024</v>
      </c>
      <c r="G1057" s="9" t="s">
        <v>101</v>
      </c>
      <c r="H1057" s="3">
        <v>806</v>
      </c>
      <c r="I1057" s="3">
        <v>849</v>
      </c>
      <c r="J1057" s="3">
        <v>-43</v>
      </c>
      <c r="K1057" s="3">
        <v>5.3</v>
      </c>
      <c r="L1057" s="3" t="s">
        <v>78</v>
      </c>
      <c r="M1057">
        <f t="shared" si="90"/>
        <v>754.66666666666663</v>
      </c>
      <c r="N1057">
        <f t="shared" si="89"/>
        <v>756.02335943199034</v>
      </c>
      <c r="O1057">
        <f t="shared" si="86"/>
        <v>43</v>
      </c>
      <c r="P1057" s="6">
        <f t="shared" si="87"/>
        <v>5.3349875930521089E-2</v>
      </c>
      <c r="Q1057" s="6">
        <f t="shared" si="88"/>
        <v>6.2005757528547964E-2</v>
      </c>
    </row>
    <row r="1058" spans="1:17" x14ac:dyDescent="0.25">
      <c r="A1058" s="2">
        <v>1057</v>
      </c>
      <c r="B1058" s="2" t="s">
        <v>59</v>
      </c>
      <c r="C1058" s="2" t="s">
        <v>60</v>
      </c>
      <c r="D1058" s="2" t="s">
        <v>103</v>
      </c>
      <c r="E1058" s="2">
        <v>1</v>
      </c>
      <c r="F1058" s="2">
        <v>2023</v>
      </c>
      <c r="G1058" s="8" t="s">
        <v>75</v>
      </c>
      <c r="H1058" s="2">
        <v>592</v>
      </c>
      <c r="I1058" s="2">
        <v>552</v>
      </c>
      <c r="J1058" s="2">
        <v>40</v>
      </c>
      <c r="K1058" s="2">
        <v>6.8</v>
      </c>
      <c r="L1058" s="2" t="s">
        <v>76</v>
      </c>
      <c r="M1058">
        <f t="shared" si="90"/>
        <v>810</v>
      </c>
      <c r="N1058">
        <f t="shared" si="89"/>
        <v>771.01635160239312</v>
      </c>
      <c r="O1058">
        <f t="shared" si="86"/>
        <v>40</v>
      </c>
      <c r="P1058" s="6">
        <f t="shared" si="87"/>
        <v>6.7567567567567571E-2</v>
      </c>
      <c r="Q1058" s="6">
        <f t="shared" si="88"/>
        <v>0.30239248581485323</v>
      </c>
    </row>
    <row r="1059" spans="1:17" x14ac:dyDescent="0.25">
      <c r="A1059" s="3">
        <v>1058</v>
      </c>
      <c r="B1059" s="3" t="s">
        <v>59</v>
      </c>
      <c r="C1059" s="3" t="s">
        <v>60</v>
      </c>
      <c r="D1059" s="3" t="s">
        <v>103</v>
      </c>
      <c r="E1059" s="3">
        <v>2</v>
      </c>
      <c r="F1059" s="3">
        <v>2023</v>
      </c>
      <c r="G1059" s="9" t="s">
        <v>77</v>
      </c>
      <c r="H1059" s="3">
        <v>595</v>
      </c>
      <c r="I1059" s="3">
        <v>549</v>
      </c>
      <c r="J1059" s="3">
        <v>46</v>
      </c>
      <c r="K1059" s="3">
        <v>7.7</v>
      </c>
      <c r="L1059" s="3" t="s">
        <v>76</v>
      </c>
      <c r="M1059">
        <f t="shared" si="90"/>
        <v>746</v>
      </c>
      <c r="N1059">
        <f t="shared" si="89"/>
        <v>717.3114461216752</v>
      </c>
      <c r="O1059">
        <f t="shared" si="86"/>
        <v>46</v>
      </c>
      <c r="P1059" s="6">
        <f t="shared" si="87"/>
        <v>7.7310924369747902E-2</v>
      </c>
      <c r="Q1059" s="6">
        <f t="shared" si="88"/>
        <v>0.20556545566668102</v>
      </c>
    </row>
    <row r="1060" spans="1:17" x14ac:dyDescent="0.25">
      <c r="A1060" s="2">
        <v>1059</v>
      </c>
      <c r="B1060" s="2" t="s">
        <v>59</v>
      </c>
      <c r="C1060" s="2" t="s">
        <v>60</v>
      </c>
      <c r="D1060" s="2" t="s">
        <v>103</v>
      </c>
      <c r="E1060" s="2">
        <v>3</v>
      </c>
      <c r="F1060" s="2">
        <v>2023</v>
      </c>
      <c r="G1060" s="8" t="s">
        <v>79</v>
      </c>
      <c r="H1060" s="2">
        <v>802</v>
      </c>
      <c r="I1060" s="2">
        <v>755</v>
      </c>
      <c r="J1060" s="2">
        <v>47</v>
      </c>
      <c r="K1060" s="2">
        <v>5.9</v>
      </c>
      <c r="L1060" s="2" t="s">
        <v>76</v>
      </c>
      <c r="M1060">
        <f t="shared" si="90"/>
        <v>664.33333333333337</v>
      </c>
      <c r="N1060">
        <f t="shared" si="89"/>
        <v>680.61801228517265</v>
      </c>
      <c r="O1060">
        <f t="shared" si="86"/>
        <v>47</v>
      </c>
      <c r="P1060" s="6">
        <f t="shared" si="87"/>
        <v>5.8603491271820449E-2</v>
      </c>
      <c r="Q1060" s="6">
        <f t="shared" si="88"/>
        <v>0.15134911186387451</v>
      </c>
    </row>
    <row r="1061" spans="1:17" x14ac:dyDescent="0.25">
      <c r="A1061" s="3">
        <v>1060</v>
      </c>
      <c r="B1061" s="3" t="s">
        <v>59</v>
      </c>
      <c r="C1061" s="3" t="s">
        <v>60</v>
      </c>
      <c r="D1061" s="3" t="s">
        <v>103</v>
      </c>
      <c r="E1061" s="3">
        <v>4</v>
      </c>
      <c r="F1061" s="3">
        <v>2023</v>
      </c>
      <c r="G1061" s="9" t="s">
        <v>80</v>
      </c>
      <c r="H1061" s="3">
        <v>753</v>
      </c>
      <c r="I1061" s="3">
        <v>806</v>
      </c>
      <c r="J1061" s="3">
        <v>-53</v>
      </c>
      <c r="K1061" s="3">
        <v>7</v>
      </c>
      <c r="L1061" s="3" t="s">
        <v>78</v>
      </c>
      <c r="M1061">
        <f t="shared" si="90"/>
        <v>663</v>
      </c>
      <c r="N1061">
        <f t="shared" si="89"/>
        <v>717.03260859962086</v>
      </c>
      <c r="O1061">
        <f t="shared" si="86"/>
        <v>53</v>
      </c>
      <c r="P1061" s="6">
        <f t="shared" si="87"/>
        <v>7.0385126162018599E-2</v>
      </c>
      <c r="Q1061" s="6">
        <f t="shared" si="88"/>
        <v>4.7765460027063937E-2</v>
      </c>
    </row>
    <row r="1062" spans="1:17" x14ac:dyDescent="0.25">
      <c r="A1062" s="2">
        <v>1061</v>
      </c>
      <c r="B1062" s="2" t="s">
        <v>59</v>
      </c>
      <c r="C1062" s="2" t="s">
        <v>60</v>
      </c>
      <c r="D1062" s="2" t="s">
        <v>103</v>
      </c>
      <c r="E1062" s="2">
        <v>5</v>
      </c>
      <c r="F1062" s="2">
        <v>2023</v>
      </c>
      <c r="G1062" s="8" t="s">
        <v>81</v>
      </c>
      <c r="H1062" s="2">
        <v>732</v>
      </c>
      <c r="I1062" s="2">
        <v>759</v>
      </c>
      <c r="J1062" s="2">
        <v>-27</v>
      </c>
      <c r="K1062" s="2">
        <v>3.7</v>
      </c>
      <c r="L1062" s="2" t="s">
        <v>83</v>
      </c>
      <c r="M1062">
        <f t="shared" si="90"/>
        <v>716.66666666666663</v>
      </c>
      <c r="N1062">
        <f t="shared" si="89"/>
        <v>727.82282601973452</v>
      </c>
      <c r="O1062">
        <f t="shared" si="86"/>
        <v>27</v>
      </c>
      <c r="P1062" s="6">
        <f t="shared" si="87"/>
        <v>3.6885245901639344E-2</v>
      </c>
      <c r="Q1062" s="6">
        <f t="shared" si="88"/>
        <v>5.7065218309637691E-3</v>
      </c>
    </row>
    <row r="1063" spans="1:17" x14ac:dyDescent="0.25">
      <c r="A1063" s="3">
        <v>1062</v>
      </c>
      <c r="B1063" s="3" t="s">
        <v>59</v>
      </c>
      <c r="C1063" s="3" t="s">
        <v>60</v>
      </c>
      <c r="D1063" s="3" t="s">
        <v>103</v>
      </c>
      <c r="E1063" s="3">
        <v>6</v>
      </c>
      <c r="F1063" s="3">
        <v>2023</v>
      </c>
      <c r="G1063" s="9" t="s">
        <v>82</v>
      </c>
      <c r="H1063" s="3">
        <v>875</v>
      </c>
      <c r="I1063" s="3">
        <v>794</v>
      </c>
      <c r="J1063" s="3">
        <v>81</v>
      </c>
      <c r="K1063" s="3">
        <v>9.3000000000000007</v>
      </c>
      <c r="L1063" s="3" t="s">
        <v>76</v>
      </c>
      <c r="M1063">
        <f t="shared" si="90"/>
        <v>762.33333333333337</v>
      </c>
      <c r="N1063">
        <f t="shared" si="89"/>
        <v>729.0759782138141</v>
      </c>
      <c r="O1063">
        <f t="shared" si="86"/>
        <v>81</v>
      </c>
      <c r="P1063" s="6">
        <f t="shared" si="87"/>
        <v>9.2571428571428568E-2</v>
      </c>
      <c r="Q1063" s="6">
        <f t="shared" si="88"/>
        <v>0.16677031061278388</v>
      </c>
    </row>
    <row r="1064" spans="1:17" x14ac:dyDescent="0.25">
      <c r="A1064" s="2">
        <v>1063</v>
      </c>
      <c r="B1064" s="2" t="s">
        <v>59</v>
      </c>
      <c r="C1064" s="2" t="s">
        <v>60</v>
      </c>
      <c r="D1064" s="2" t="s">
        <v>103</v>
      </c>
      <c r="E1064" s="2">
        <v>7</v>
      </c>
      <c r="F1064" s="2">
        <v>2023</v>
      </c>
      <c r="G1064" s="8" t="s">
        <v>84</v>
      </c>
      <c r="H1064" s="2">
        <v>751</v>
      </c>
      <c r="I1064" s="2">
        <v>782</v>
      </c>
      <c r="J1064" s="2">
        <v>-31</v>
      </c>
      <c r="K1064" s="2">
        <v>4.0999999999999996</v>
      </c>
      <c r="L1064" s="2" t="s">
        <v>76</v>
      </c>
      <c r="M1064">
        <f t="shared" si="90"/>
        <v>786.66666666666663</v>
      </c>
      <c r="N1064">
        <f t="shared" si="89"/>
        <v>772.85318474966982</v>
      </c>
      <c r="O1064">
        <f t="shared" si="86"/>
        <v>31</v>
      </c>
      <c r="P1064" s="6">
        <f t="shared" si="87"/>
        <v>4.1278295605858856E-2</v>
      </c>
      <c r="Q1064" s="6">
        <f t="shared" si="88"/>
        <v>2.9098781291171535E-2</v>
      </c>
    </row>
    <row r="1065" spans="1:17" x14ac:dyDescent="0.25">
      <c r="A1065" s="3">
        <v>1064</v>
      </c>
      <c r="B1065" s="3" t="s">
        <v>59</v>
      </c>
      <c r="C1065" s="3" t="s">
        <v>60</v>
      </c>
      <c r="D1065" s="3" t="s">
        <v>103</v>
      </c>
      <c r="E1065" s="3">
        <v>8</v>
      </c>
      <c r="F1065" s="3">
        <v>2023</v>
      </c>
      <c r="G1065" s="9" t="s">
        <v>85</v>
      </c>
      <c r="H1065" s="3">
        <v>778</v>
      </c>
      <c r="I1065" s="3">
        <v>707</v>
      </c>
      <c r="J1065" s="3">
        <v>71</v>
      </c>
      <c r="K1065" s="3">
        <v>9.1</v>
      </c>
      <c r="L1065" s="3" t="s">
        <v>76</v>
      </c>
      <c r="M1065">
        <f t="shared" si="90"/>
        <v>786</v>
      </c>
      <c r="N1065">
        <f t="shared" si="89"/>
        <v>766.29722932476875</v>
      </c>
      <c r="O1065">
        <f t="shared" si="86"/>
        <v>71</v>
      </c>
      <c r="P1065" s="6">
        <f t="shared" si="87"/>
        <v>9.1259640102827763E-2</v>
      </c>
      <c r="Q1065" s="6">
        <f t="shared" si="88"/>
        <v>1.5042121690528598E-2</v>
      </c>
    </row>
    <row r="1066" spans="1:17" x14ac:dyDescent="0.25">
      <c r="A1066" s="2">
        <v>1065</v>
      </c>
      <c r="B1066" s="2" t="s">
        <v>59</v>
      </c>
      <c r="C1066" s="2" t="s">
        <v>60</v>
      </c>
      <c r="D1066" s="2" t="s">
        <v>103</v>
      </c>
      <c r="E1066" s="2">
        <v>9</v>
      </c>
      <c r="F1066" s="2">
        <v>2023</v>
      </c>
      <c r="G1066" s="8" t="s">
        <v>86</v>
      </c>
      <c r="H1066" s="2">
        <v>716</v>
      </c>
      <c r="I1066" s="2">
        <v>786</v>
      </c>
      <c r="J1066" s="2">
        <v>-70</v>
      </c>
      <c r="K1066" s="2">
        <v>9.8000000000000007</v>
      </c>
      <c r="L1066" s="2" t="s">
        <v>78</v>
      </c>
      <c r="M1066">
        <f t="shared" si="90"/>
        <v>801.33333333333337</v>
      </c>
      <c r="N1066">
        <f t="shared" si="89"/>
        <v>769.80806052733806</v>
      </c>
      <c r="O1066">
        <f t="shared" si="86"/>
        <v>70</v>
      </c>
      <c r="P1066" s="6">
        <f t="shared" si="87"/>
        <v>9.7765363128491614E-2</v>
      </c>
      <c r="Q1066" s="6">
        <f t="shared" si="88"/>
        <v>7.5150922524215166E-2</v>
      </c>
    </row>
    <row r="1067" spans="1:17" x14ac:dyDescent="0.25">
      <c r="A1067" s="3">
        <v>1066</v>
      </c>
      <c r="B1067" s="3" t="s">
        <v>59</v>
      </c>
      <c r="C1067" s="3" t="s">
        <v>60</v>
      </c>
      <c r="D1067" s="3" t="s">
        <v>103</v>
      </c>
      <c r="E1067" s="3">
        <v>10</v>
      </c>
      <c r="F1067" s="3">
        <v>2023</v>
      </c>
      <c r="G1067" s="9" t="s">
        <v>87</v>
      </c>
      <c r="H1067" s="3">
        <v>926</v>
      </c>
      <c r="I1067" s="3">
        <v>991</v>
      </c>
      <c r="J1067" s="3">
        <v>-65</v>
      </c>
      <c r="K1067" s="3">
        <v>7</v>
      </c>
      <c r="L1067" s="3" t="s">
        <v>83</v>
      </c>
      <c r="M1067">
        <f t="shared" si="90"/>
        <v>748.33333333333337</v>
      </c>
      <c r="N1067">
        <f t="shared" si="89"/>
        <v>753.66564236913655</v>
      </c>
      <c r="O1067">
        <f t="shared" si="86"/>
        <v>65</v>
      </c>
      <c r="P1067" s="6">
        <f t="shared" si="87"/>
        <v>7.0194384449244057E-2</v>
      </c>
      <c r="Q1067" s="6">
        <f t="shared" si="88"/>
        <v>0.186106217743913</v>
      </c>
    </row>
    <row r="1068" spans="1:17" x14ac:dyDescent="0.25">
      <c r="A1068" s="2">
        <v>1067</v>
      </c>
      <c r="B1068" s="2" t="s">
        <v>59</v>
      </c>
      <c r="C1068" s="2" t="s">
        <v>60</v>
      </c>
      <c r="D1068" s="2" t="s">
        <v>103</v>
      </c>
      <c r="E1068" s="2">
        <v>11</v>
      </c>
      <c r="F1068" s="2">
        <v>2023</v>
      </c>
      <c r="G1068" s="8" t="s">
        <v>88</v>
      </c>
      <c r="H1068" s="2">
        <v>1006</v>
      </c>
      <c r="I1068" s="2">
        <v>955</v>
      </c>
      <c r="J1068" s="2">
        <v>51</v>
      </c>
      <c r="K1068" s="2">
        <v>5.0999999999999996</v>
      </c>
      <c r="L1068" s="2" t="s">
        <v>76</v>
      </c>
      <c r="M1068">
        <f t="shared" si="90"/>
        <v>806.66666666666663</v>
      </c>
      <c r="N1068">
        <f t="shared" si="89"/>
        <v>805.36594965839549</v>
      </c>
      <c r="O1068">
        <f t="shared" si="86"/>
        <v>51</v>
      </c>
      <c r="P1068" s="6">
        <f t="shared" si="87"/>
        <v>5.0695825049701791E-2</v>
      </c>
      <c r="Q1068" s="6">
        <f t="shared" si="88"/>
        <v>0.1994374257868832</v>
      </c>
    </row>
    <row r="1069" spans="1:17" x14ac:dyDescent="0.25">
      <c r="A1069" s="3">
        <v>1068</v>
      </c>
      <c r="B1069" s="3" t="s">
        <v>59</v>
      </c>
      <c r="C1069" s="3" t="s">
        <v>60</v>
      </c>
      <c r="D1069" s="3" t="s">
        <v>103</v>
      </c>
      <c r="E1069" s="3">
        <v>12</v>
      </c>
      <c r="F1069" s="3">
        <v>2023</v>
      </c>
      <c r="G1069" s="9" t="s">
        <v>89</v>
      </c>
      <c r="H1069" s="3">
        <v>893</v>
      </c>
      <c r="I1069" s="3">
        <v>945</v>
      </c>
      <c r="J1069" s="3">
        <v>-52</v>
      </c>
      <c r="K1069" s="3">
        <v>5.8</v>
      </c>
      <c r="L1069" s="3" t="s">
        <v>78</v>
      </c>
      <c r="M1069">
        <f t="shared" si="90"/>
        <v>882.66666666666663</v>
      </c>
      <c r="N1069">
        <f t="shared" si="89"/>
        <v>865.55616476087675</v>
      </c>
      <c r="O1069">
        <f t="shared" si="86"/>
        <v>52</v>
      </c>
      <c r="P1069" s="6">
        <f t="shared" si="87"/>
        <v>5.823068309070549E-2</v>
      </c>
      <c r="Q1069" s="6">
        <f t="shared" si="88"/>
        <v>3.073217831928695E-2</v>
      </c>
    </row>
    <row r="1070" spans="1:17" x14ac:dyDescent="0.25">
      <c r="A1070" s="2">
        <v>1069</v>
      </c>
      <c r="B1070" s="2" t="s">
        <v>59</v>
      </c>
      <c r="C1070" s="2" t="s">
        <v>60</v>
      </c>
      <c r="D1070" s="2" t="s">
        <v>103</v>
      </c>
      <c r="E1070" s="2">
        <v>1</v>
      </c>
      <c r="F1070" s="2">
        <v>2024</v>
      </c>
      <c r="G1070" s="8" t="s">
        <v>90</v>
      </c>
      <c r="H1070" s="2">
        <v>570</v>
      </c>
      <c r="I1070" s="2">
        <v>607</v>
      </c>
      <c r="J1070" s="2">
        <v>-37</v>
      </c>
      <c r="K1070" s="2">
        <v>6.5</v>
      </c>
      <c r="L1070" s="2" t="s">
        <v>78</v>
      </c>
      <c r="M1070">
        <f t="shared" si="90"/>
        <v>941.66666666666663</v>
      </c>
      <c r="N1070">
        <f t="shared" si="89"/>
        <v>873.78931533261368</v>
      </c>
      <c r="O1070">
        <f t="shared" si="86"/>
        <v>37</v>
      </c>
      <c r="P1070" s="6">
        <f t="shared" si="87"/>
        <v>6.491228070175438E-2</v>
      </c>
      <c r="Q1070" s="6">
        <f t="shared" si="88"/>
        <v>0.53296371110984853</v>
      </c>
    </row>
    <row r="1071" spans="1:17" x14ac:dyDescent="0.25">
      <c r="A1071" s="3">
        <v>1070</v>
      </c>
      <c r="B1071" s="3" t="s">
        <v>59</v>
      </c>
      <c r="C1071" s="3" t="s">
        <v>60</v>
      </c>
      <c r="D1071" s="3" t="s">
        <v>103</v>
      </c>
      <c r="E1071" s="3">
        <v>2</v>
      </c>
      <c r="F1071" s="3">
        <v>2024</v>
      </c>
      <c r="G1071" s="9" t="s">
        <v>91</v>
      </c>
      <c r="H1071" s="3">
        <v>567</v>
      </c>
      <c r="I1071" s="3">
        <v>603</v>
      </c>
      <c r="J1071" s="3">
        <v>-36</v>
      </c>
      <c r="K1071" s="3">
        <v>6.3</v>
      </c>
      <c r="L1071" s="3" t="s">
        <v>76</v>
      </c>
      <c r="M1071">
        <f t="shared" si="90"/>
        <v>823</v>
      </c>
      <c r="N1071">
        <f t="shared" si="89"/>
        <v>782.65252073282954</v>
      </c>
      <c r="O1071">
        <f t="shared" si="86"/>
        <v>36</v>
      </c>
      <c r="P1071" s="6">
        <f t="shared" si="87"/>
        <v>6.3492063492063489E-2</v>
      </c>
      <c r="Q1071" s="6">
        <f t="shared" si="88"/>
        <v>0.38033954273867643</v>
      </c>
    </row>
    <row r="1072" spans="1:17" x14ac:dyDescent="0.25">
      <c r="A1072" s="2">
        <v>1071</v>
      </c>
      <c r="B1072" s="2" t="s">
        <v>59</v>
      </c>
      <c r="C1072" s="2" t="s">
        <v>60</v>
      </c>
      <c r="D1072" s="2" t="s">
        <v>103</v>
      </c>
      <c r="E1072" s="2">
        <v>3</v>
      </c>
      <c r="F1072" s="2">
        <v>2024</v>
      </c>
      <c r="G1072" s="8" t="s">
        <v>92</v>
      </c>
      <c r="H1072" s="2">
        <v>754</v>
      </c>
      <c r="I1072" s="2">
        <v>819</v>
      </c>
      <c r="J1072" s="2">
        <v>-65</v>
      </c>
      <c r="K1072" s="2">
        <v>8.6</v>
      </c>
      <c r="L1072" s="2" t="s">
        <v>78</v>
      </c>
      <c r="M1072">
        <f t="shared" si="90"/>
        <v>676.66666666666663</v>
      </c>
      <c r="N1072">
        <f t="shared" si="89"/>
        <v>717.95676451298061</v>
      </c>
      <c r="O1072">
        <f t="shared" si="86"/>
        <v>65</v>
      </c>
      <c r="P1072" s="6">
        <f t="shared" si="87"/>
        <v>8.6206896551724144E-2</v>
      </c>
      <c r="Q1072" s="6">
        <f t="shared" si="88"/>
        <v>4.780269958490635E-2</v>
      </c>
    </row>
    <row r="1073" spans="1:17" x14ac:dyDescent="0.25">
      <c r="A1073" s="3">
        <v>1072</v>
      </c>
      <c r="B1073" s="3" t="s">
        <v>59</v>
      </c>
      <c r="C1073" s="3" t="s">
        <v>60</v>
      </c>
      <c r="D1073" s="3" t="s">
        <v>103</v>
      </c>
      <c r="E1073" s="3">
        <v>4</v>
      </c>
      <c r="F1073" s="3">
        <v>2024</v>
      </c>
      <c r="G1073" s="9" t="s">
        <v>93</v>
      </c>
      <c r="H1073" s="3">
        <v>775</v>
      </c>
      <c r="I1073" s="3">
        <v>737</v>
      </c>
      <c r="J1073" s="3">
        <v>38</v>
      </c>
      <c r="K1073" s="3">
        <v>4.9000000000000004</v>
      </c>
      <c r="L1073" s="3" t="s">
        <v>78</v>
      </c>
      <c r="M1073">
        <f t="shared" si="90"/>
        <v>630.33333333333337</v>
      </c>
      <c r="N1073">
        <f t="shared" si="89"/>
        <v>728.76973515908639</v>
      </c>
      <c r="O1073">
        <f t="shared" si="86"/>
        <v>38</v>
      </c>
      <c r="P1073" s="6">
        <f t="shared" si="87"/>
        <v>4.9032258064516131E-2</v>
      </c>
      <c r="Q1073" s="6">
        <f t="shared" si="88"/>
        <v>5.9651954633436907E-2</v>
      </c>
    </row>
    <row r="1074" spans="1:17" x14ac:dyDescent="0.25">
      <c r="A1074" s="2">
        <v>1073</v>
      </c>
      <c r="B1074" s="2" t="s">
        <v>59</v>
      </c>
      <c r="C1074" s="2" t="s">
        <v>60</v>
      </c>
      <c r="D1074" s="2" t="s">
        <v>103</v>
      </c>
      <c r="E1074" s="2">
        <v>5</v>
      </c>
      <c r="F1074" s="2">
        <v>2024</v>
      </c>
      <c r="G1074" s="8" t="s">
        <v>94</v>
      </c>
      <c r="H1074" s="2">
        <v>706</v>
      </c>
      <c r="I1074" s="2">
        <v>644</v>
      </c>
      <c r="J1074" s="2">
        <v>62</v>
      </c>
      <c r="K1074" s="2">
        <v>8.8000000000000007</v>
      </c>
      <c r="L1074" s="2" t="s">
        <v>83</v>
      </c>
      <c r="M1074">
        <f t="shared" si="90"/>
        <v>698.66666666666663</v>
      </c>
      <c r="N1074">
        <f t="shared" si="89"/>
        <v>742.63881461136043</v>
      </c>
      <c r="O1074">
        <f t="shared" si="86"/>
        <v>62</v>
      </c>
      <c r="P1074" s="6">
        <f t="shared" si="87"/>
        <v>8.7818696883852687E-2</v>
      </c>
      <c r="Q1074" s="6">
        <f t="shared" si="88"/>
        <v>5.1896337976431207E-2</v>
      </c>
    </row>
    <row r="1075" spans="1:17" x14ac:dyDescent="0.25">
      <c r="A1075" s="3">
        <v>1074</v>
      </c>
      <c r="B1075" s="3" t="s">
        <v>59</v>
      </c>
      <c r="C1075" s="3" t="s">
        <v>60</v>
      </c>
      <c r="D1075" s="3" t="s">
        <v>103</v>
      </c>
      <c r="E1075" s="3">
        <v>6</v>
      </c>
      <c r="F1075" s="3">
        <v>2024</v>
      </c>
      <c r="G1075" s="9" t="s">
        <v>95</v>
      </c>
      <c r="H1075" s="3">
        <v>824</v>
      </c>
      <c r="I1075" s="3">
        <v>762</v>
      </c>
      <c r="J1075" s="3">
        <v>62</v>
      </c>
      <c r="K1075" s="3">
        <v>7.5</v>
      </c>
      <c r="L1075" s="3" t="s">
        <v>76</v>
      </c>
      <c r="M1075">
        <f t="shared" si="90"/>
        <v>745</v>
      </c>
      <c r="N1075">
        <f t="shared" si="89"/>
        <v>731.64717022795219</v>
      </c>
      <c r="O1075">
        <f t="shared" si="86"/>
        <v>62</v>
      </c>
      <c r="P1075" s="6">
        <f t="shared" si="87"/>
        <v>7.5242718446601936E-2</v>
      </c>
      <c r="Q1075" s="6">
        <f t="shared" si="88"/>
        <v>0.11207867690782501</v>
      </c>
    </row>
    <row r="1076" spans="1:17" x14ac:dyDescent="0.25">
      <c r="A1076" s="2">
        <v>1075</v>
      </c>
      <c r="B1076" s="2" t="s">
        <v>59</v>
      </c>
      <c r="C1076" s="2" t="s">
        <v>60</v>
      </c>
      <c r="D1076" s="2" t="s">
        <v>103</v>
      </c>
      <c r="E1076" s="2">
        <v>7</v>
      </c>
      <c r="F1076" s="2">
        <v>2024</v>
      </c>
      <c r="G1076" s="8" t="s">
        <v>96</v>
      </c>
      <c r="H1076" s="2">
        <v>746</v>
      </c>
      <c r="I1076" s="2">
        <v>811</v>
      </c>
      <c r="J1076" s="2">
        <v>-65</v>
      </c>
      <c r="K1076" s="2">
        <v>8.6999999999999993</v>
      </c>
      <c r="L1076" s="2" t="s">
        <v>78</v>
      </c>
      <c r="M1076">
        <f t="shared" si="90"/>
        <v>768.33333333333337</v>
      </c>
      <c r="N1076">
        <f t="shared" si="89"/>
        <v>759.35301915956643</v>
      </c>
      <c r="O1076">
        <f t="shared" si="86"/>
        <v>65</v>
      </c>
      <c r="P1076" s="6">
        <f t="shared" si="87"/>
        <v>8.7131367292225204E-2</v>
      </c>
      <c r="Q1076" s="6">
        <f t="shared" si="88"/>
        <v>1.7899489490035426E-2</v>
      </c>
    </row>
    <row r="1077" spans="1:17" x14ac:dyDescent="0.25">
      <c r="A1077" s="3">
        <v>1076</v>
      </c>
      <c r="B1077" s="3" t="s">
        <v>59</v>
      </c>
      <c r="C1077" s="3" t="s">
        <v>60</v>
      </c>
      <c r="D1077" s="3" t="s">
        <v>103</v>
      </c>
      <c r="E1077" s="3">
        <v>8</v>
      </c>
      <c r="F1077" s="3">
        <v>2024</v>
      </c>
      <c r="G1077" s="9" t="s">
        <v>97</v>
      </c>
      <c r="H1077" s="3">
        <v>734</v>
      </c>
      <c r="I1077" s="3">
        <v>744</v>
      </c>
      <c r="J1077" s="3">
        <v>-10</v>
      </c>
      <c r="K1077" s="3">
        <v>1.4</v>
      </c>
      <c r="L1077" s="3" t="s">
        <v>83</v>
      </c>
      <c r="M1077">
        <f t="shared" si="90"/>
        <v>758.66666666666663</v>
      </c>
      <c r="N1077">
        <f t="shared" si="89"/>
        <v>755.34711341169645</v>
      </c>
      <c r="O1077">
        <f t="shared" si="86"/>
        <v>10</v>
      </c>
      <c r="P1077" s="6">
        <f t="shared" si="87"/>
        <v>1.3623978201634877E-2</v>
      </c>
      <c r="Q1077" s="6">
        <f t="shared" si="88"/>
        <v>2.9083260778878003E-2</v>
      </c>
    </row>
    <row r="1078" spans="1:17" x14ac:dyDescent="0.25">
      <c r="A1078" s="2">
        <v>1077</v>
      </c>
      <c r="B1078" s="2" t="s">
        <v>59</v>
      </c>
      <c r="C1078" s="2" t="s">
        <v>60</v>
      </c>
      <c r="D1078" s="2" t="s">
        <v>103</v>
      </c>
      <c r="E1078" s="2">
        <v>9</v>
      </c>
      <c r="F1078" s="2">
        <v>2024</v>
      </c>
      <c r="G1078" s="8" t="s">
        <v>98</v>
      </c>
      <c r="H1078" s="2">
        <v>740</v>
      </c>
      <c r="I1078" s="2">
        <v>670</v>
      </c>
      <c r="J1078" s="2">
        <v>70</v>
      </c>
      <c r="K1078" s="2">
        <v>9.5</v>
      </c>
      <c r="L1078" s="2" t="s">
        <v>83</v>
      </c>
      <c r="M1078">
        <f t="shared" si="90"/>
        <v>768</v>
      </c>
      <c r="N1078">
        <f t="shared" si="89"/>
        <v>748.9429793881875</v>
      </c>
      <c r="O1078">
        <f t="shared" si="86"/>
        <v>70</v>
      </c>
      <c r="P1078" s="6">
        <f t="shared" si="87"/>
        <v>9.45945945945946E-2</v>
      </c>
      <c r="Q1078" s="6">
        <f t="shared" si="88"/>
        <v>1.2085107281334453E-2</v>
      </c>
    </row>
    <row r="1079" spans="1:17" x14ac:dyDescent="0.25">
      <c r="A1079" s="3">
        <v>1078</v>
      </c>
      <c r="B1079" s="3" t="s">
        <v>59</v>
      </c>
      <c r="C1079" s="3" t="s">
        <v>60</v>
      </c>
      <c r="D1079" s="3" t="s">
        <v>103</v>
      </c>
      <c r="E1079" s="3">
        <v>10</v>
      </c>
      <c r="F1079" s="3">
        <v>2024</v>
      </c>
      <c r="G1079" s="9" t="s">
        <v>99</v>
      </c>
      <c r="H1079" s="3">
        <v>821</v>
      </c>
      <c r="I1079" s="3">
        <v>797</v>
      </c>
      <c r="J1079" s="3">
        <v>24</v>
      </c>
      <c r="K1079" s="3">
        <v>2.9</v>
      </c>
      <c r="L1079" s="3" t="s">
        <v>78</v>
      </c>
      <c r="M1079">
        <f t="shared" si="90"/>
        <v>740</v>
      </c>
      <c r="N1079">
        <f t="shared" si="89"/>
        <v>746.26008557173122</v>
      </c>
      <c r="O1079">
        <f t="shared" si="86"/>
        <v>24</v>
      </c>
      <c r="P1079" s="6">
        <f t="shared" si="87"/>
        <v>2.9232643118148598E-2</v>
      </c>
      <c r="Q1079" s="6">
        <f t="shared" si="88"/>
        <v>9.1035218548439434E-2</v>
      </c>
    </row>
    <row r="1080" spans="1:17" x14ac:dyDescent="0.25">
      <c r="A1080" s="2">
        <v>1079</v>
      </c>
      <c r="B1080" s="2" t="s">
        <v>59</v>
      </c>
      <c r="C1080" s="2" t="s">
        <v>60</v>
      </c>
      <c r="D1080" s="2" t="s">
        <v>103</v>
      </c>
      <c r="E1080" s="2">
        <v>11</v>
      </c>
      <c r="F1080" s="2">
        <v>2024</v>
      </c>
      <c r="G1080" s="8" t="s">
        <v>100</v>
      </c>
      <c r="H1080" s="2">
        <v>898</v>
      </c>
      <c r="I1080" s="2">
        <v>888</v>
      </c>
      <c r="J1080" s="2">
        <v>10</v>
      </c>
      <c r="K1080" s="2">
        <v>1.1000000000000001</v>
      </c>
      <c r="L1080" s="2" t="s">
        <v>78</v>
      </c>
      <c r="M1080">
        <f t="shared" si="90"/>
        <v>765</v>
      </c>
      <c r="N1080">
        <f t="shared" si="89"/>
        <v>768.68205990021181</v>
      </c>
      <c r="O1080">
        <f t="shared" si="86"/>
        <v>10</v>
      </c>
      <c r="P1080" s="6">
        <f t="shared" si="87"/>
        <v>1.1135857461024499E-2</v>
      </c>
      <c r="Q1080" s="6">
        <f t="shared" si="88"/>
        <v>0.14400661481045454</v>
      </c>
    </row>
    <row r="1081" spans="1:17" x14ac:dyDescent="0.25">
      <c r="A1081" s="3">
        <v>1080</v>
      </c>
      <c r="B1081" s="3" t="s">
        <v>59</v>
      </c>
      <c r="C1081" s="3" t="s">
        <v>60</v>
      </c>
      <c r="D1081" s="3" t="s">
        <v>103</v>
      </c>
      <c r="E1081" s="3">
        <v>12</v>
      </c>
      <c r="F1081" s="3">
        <v>2024</v>
      </c>
      <c r="G1081" s="9" t="s">
        <v>101</v>
      </c>
      <c r="H1081" s="3">
        <v>877</v>
      </c>
      <c r="I1081" s="3">
        <v>897</v>
      </c>
      <c r="J1081" s="3">
        <v>-20</v>
      </c>
      <c r="K1081" s="3">
        <v>2.2999999999999998</v>
      </c>
      <c r="L1081" s="3" t="s">
        <v>78</v>
      </c>
      <c r="M1081">
        <f t="shared" si="90"/>
        <v>819.66666666666663</v>
      </c>
      <c r="N1081">
        <f t="shared" si="89"/>
        <v>807.47744193014819</v>
      </c>
      <c r="O1081">
        <f t="shared" si="86"/>
        <v>20</v>
      </c>
      <c r="P1081" s="6">
        <f t="shared" si="87"/>
        <v>2.2805017103762829E-2</v>
      </c>
      <c r="Q1081" s="6">
        <f t="shared" si="88"/>
        <v>7.9273156294015754E-2</v>
      </c>
    </row>
    <row r="1082" spans="1:17" x14ac:dyDescent="0.25">
      <c r="M1082">
        <f t="shared" si="90"/>
        <v>865.33333333333337</v>
      </c>
    </row>
    <row r="1083" spans="1:17" x14ac:dyDescent="0.25">
      <c r="M1083">
        <f t="shared" si="90"/>
        <v>887.5</v>
      </c>
    </row>
    <row r="1084" spans="1:17" x14ac:dyDescent="0.25">
      <c r="M1084">
        <f>AVERAGE(H1081:H1083)</f>
        <v>877</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6"/>
  <sheetViews>
    <sheetView zoomScale="85" zoomScaleNormal="85" workbookViewId="0">
      <selection activeCell="R45" sqref="R45"/>
    </sheetView>
  </sheetViews>
  <sheetFormatPr defaultColWidth="8.7109375" defaultRowHeight="15" x14ac:dyDescent="0.25"/>
  <cols>
    <col min="1" max="1" width="9.85546875" customWidth="1"/>
    <col min="2" max="2" width="22" customWidth="1"/>
    <col min="3" max="3" width="14" customWidth="1"/>
    <col min="4" max="4" width="16.85546875" customWidth="1"/>
    <col min="5" max="5" width="10.85546875" customWidth="1"/>
    <col min="6" max="6" width="12.85546875" customWidth="1"/>
    <col min="7" max="7" width="15.85546875" customWidth="1"/>
    <col min="8" max="8" width="14.7109375" customWidth="1"/>
    <col min="13" max="13" width="13.42578125" customWidth="1"/>
    <col min="14" max="14" width="17.28515625" customWidth="1"/>
    <col min="15" max="15" width="15.140625" customWidth="1"/>
    <col min="16" max="16" width="23.28515625" customWidth="1"/>
  </cols>
  <sheetData>
    <row r="1" spans="1:16" ht="30" customHeight="1" x14ac:dyDescent="0.25">
      <c r="A1" s="1" t="s">
        <v>0</v>
      </c>
      <c r="B1" s="1" t="s">
        <v>1</v>
      </c>
      <c r="C1" s="1" t="s">
        <v>104</v>
      </c>
      <c r="D1" s="1" t="s">
        <v>105</v>
      </c>
      <c r="E1" s="1" t="s">
        <v>106</v>
      </c>
      <c r="F1" s="1" t="s">
        <v>107</v>
      </c>
      <c r="G1" s="1" t="s">
        <v>108</v>
      </c>
      <c r="H1" s="1" t="s">
        <v>110</v>
      </c>
      <c r="L1" t="s">
        <v>109</v>
      </c>
      <c r="M1" t="s">
        <v>381</v>
      </c>
      <c r="N1" t="s">
        <v>383</v>
      </c>
      <c r="O1" t="s">
        <v>382</v>
      </c>
      <c r="P1" t="s">
        <v>387</v>
      </c>
    </row>
    <row r="2" spans="1:16" x14ac:dyDescent="0.25">
      <c r="A2" s="2" t="s">
        <v>12</v>
      </c>
      <c r="B2" s="2" t="s">
        <v>13</v>
      </c>
      <c r="C2" s="2" t="s">
        <v>111</v>
      </c>
      <c r="D2" s="2">
        <v>4719</v>
      </c>
      <c r="E2" s="2">
        <v>3147</v>
      </c>
      <c r="F2" s="2">
        <v>4373</v>
      </c>
      <c r="G2" s="2">
        <v>3493</v>
      </c>
      <c r="H2" s="2" t="s">
        <v>112</v>
      </c>
      <c r="L2">
        <f>VLOOKUP(Table3[[#This Row],[SKU_ID]],Table2[],16,0)</f>
        <v>2923.2636877701084</v>
      </c>
      <c r="M2">
        <f>VLOOKUP(Table3[[#This Row],[SKU_ID]],Table2[],18,0)</f>
        <v>1321.7419824664064</v>
      </c>
      <c r="N2">
        <f>VLOOKUP(Table3[[#This Row],[SKU_ID]],Table2[],19,0)</f>
        <v>6893.8570509595575</v>
      </c>
      <c r="O2">
        <f>VLOOKUP(Table3[[#This Row],[SKU_ID]],Table2[],20,0)</f>
        <v>8.7762006704618205</v>
      </c>
      <c r="P2" t="str">
        <f>IF(Table3[[#This Row],[Closing_Stock]]&lt;Table7[[#This Row],[Safety Stock]],"Critical",IF(G2&lt;Table7[[#This Row],[Reorder Point]],"ReOrder","OK"))</f>
        <v>ReOrder</v>
      </c>
    </row>
    <row r="3" spans="1:16" x14ac:dyDescent="0.25">
      <c r="A3" s="3" t="s">
        <v>12</v>
      </c>
      <c r="B3" s="3" t="s">
        <v>13</v>
      </c>
      <c r="C3" s="3" t="s">
        <v>113</v>
      </c>
      <c r="D3" s="3">
        <v>4147</v>
      </c>
      <c r="E3" s="3">
        <v>2170</v>
      </c>
      <c r="F3" s="3">
        <v>3158</v>
      </c>
      <c r="G3" s="3">
        <v>3159</v>
      </c>
      <c r="H3" s="3" t="s">
        <v>112</v>
      </c>
      <c r="L3">
        <f>VLOOKUP(Table3[[#This Row],[SKU_ID]],Table2[],16,0)</f>
        <v>2923.2636877701084</v>
      </c>
      <c r="M3">
        <f>VLOOKUP(Table3[[#This Row],[SKU_ID]],Table2[],18,0)</f>
        <v>1321.7419824664064</v>
      </c>
      <c r="N3">
        <f>VLOOKUP(Table3[[#This Row],[SKU_ID]],Table2[],19,0)</f>
        <v>6893.8570509595575</v>
      </c>
      <c r="O3">
        <f>VLOOKUP(Table3[[#This Row],[SKU_ID]],Table2[],20,0)</f>
        <v>8.7762006704618205</v>
      </c>
      <c r="P3" t="str">
        <f>IF(Table3[[#This Row],[Closing_Stock]]&lt;Table7[[#This Row],[Safety Stock]],"Critical",IF(G3&lt;Table7[[#This Row],[Reorder Point]],"ReOrder","OK"))</f>
        <v>ReOrder</v>
      </c>
    </row>
    <row r="4" spans="1:16" x14ac:dyDescent="0.25">
      <c r="A4" s="2" t="s">
        <v>12</v>
      </c>
      <c r="B4" s="2" t="s">
        <v>13</v>
      </c>
      <c r="C4" s="2" t="s">
        <v>114</v>
      </c>
      <c r="D4" s="2">
        <v>3731</v>
      </c>
      <c r="E4" s="2">
        <v>3035</v>
      </c>
      <c r="F4" s="2">
        <v>3690</v>
      </c>
      <c r="G4" s="2">
        <v>3076</v>
      </c>
      <c r="H4" s="2" t="s">
        <v>112</v>
      </c>
      <c r="L4">
        <f>VLOOKUP(Table3[[#This Row],[SKU_ID]],Table2[],16,0)</f>
        <v>2923.2636877701084</v>
      </c>
      <c r="M4">
        <f>VLOOKUP(Table3[[#This Row],[SKU_ID]],Table2[],18,0)</f>
        <v>1321.7419824664064</v>
      </c>
      <c r="N4">
        <f>VLOOKUP(Table3[[#This Row],[SKU_ID]],Table2[],19,0)</f>
        <v>6893.8570509595575</v>
      </c>
      <c r="O4">
        <f>VLOOKUP(Table3[[#This Row],[SKU_ID]],Table2[],20,0)</f>
        <v>8.7762006704618205</v>
      </c>
      <c r="P4" t="str">
        <f>IF(Table3[[#This Row],[Closing_Stock]]&lt;Table7[[#This Row],[Safety Stock]],"Critical",IF(G4&lt;Table7[[#This Row],[Reorder Point]],"ReOrder","OK"))</f>
        <v>ReOrder</v>
      </c>
    </row>
    <row r="5" spans="1:16" x14ac:dyDescent="0.25">
      <c r="A5" s="3" t="s">
        <v>20</v>
      </c>
      <c r="B5" s="3" t="s">
        <v>21</v>
      </c>
      <c r="C5" s="3" t="s">
        <v>111</v>
      </c>
      <c r="D5" s="3">
        <v>6287</v>
      </c>
      <c r="E5" s="3">
        <v>6779</v>
      </c>
      <c r="F5" s="3">
        <v>5928</v>
      </c>
      <c r="G5" s="3">
        <v>7138</v>
      </c>
      <c r="H5" s="3" t="s">
        <v>112</v>
      </c>
      <c r="L5">
        <f>VLOOKUP(Table3[[#This Row],[SKU_ID]],Table2[],16,0)</f>
        <v>5143.9824606578468</v>
      </c>
      <c r="M5">
        <f>VLOOKUP(Table3[[#This Row],[SKU_ID]],Table2[],18,0)</f>
        <v>1322.3093813842449</v>
      </c>
      <c r="N5">
        <f>VLOOKUP(Table3[[#This Row],[SKU_ID]],Table2[],19,0)</f>
        <v>10456.638148507533</v>
      </c>
      <c r="O5">
        <f>VLOOKUP(Table3[[#This Row],[SKU_ID]],Table2[],20,0)</f>
        <v>4.8417350773688295</v>
      </c>
      <c r="P5" t="str">
        <f>IF(Table3[[#This Row],[Closing_Stock]]&lt;Table7[[#This Row],[Safety Stock]],"Critical",IF(G5&lt;Table7[[#This Row],[Reorder Point]],"ReOrder","OK"))</f>
        <v>ReOrder</v>
      </c>
    </row>
    <row r="6" spans="1:16" x14ac:dyDescent="0.25">
      <c r="A6" s="2" t="s">
        <v>20</v>
      </c>
      <c r="B6" s="2" t="s">
        <v>21</v>
      </c>
      <c r="C6" s="2" t="s">
        <v>113</v>
      </c>
      <c r="D6" s="2">
        <v>5231</v>
      </c>
      <c r="E6" s="2">
        <v>4465</v>
      </c>
      <c r="F6" s="2">
        <v>6180</v>
      </c>
      <c r="G6" s="2">
        <v>3516</v>
      </c>
      <c r="H6" s="2" t="s">
        <v>112</v>
      </c>
      <c r="L6">
        <f>VLOOKUP(Table3[[#This Row],[SKU_ID]],Table2[],16,0)</f>
        <v>5143.9824606578468</v>
      </c>
      <c r="M6">
        <f>VLOOKUP(Table3[[#This Row],[SKU_ID]],Table2[],18,0)</f>
        <v>1322.3093813842449</v>
      </c>
      <c r="N6">
        <f>VLOOKUP(Table3[[#This Row],[SKU_ID]],Table2[],19,0)</f>
        <v>10456.638148507533</v>
      </c>
      <c r="O6">
        <f>VLOOKUP(Table3[[#This Row],[SKU_ID]],Table2[],20,0)</f>
        <v>4.8417350773688295</v>
      </c>
      <c r="P6" t="str">
        <f>IF(Table3[[#This Row],[Closing_Stock]]&lt;Table7[[#This Row],[Safety Stock]],"Critical",IF(G6&lt;Table7[[#This Row],[Reorder Point]],"ReOrder","OK"))</f>
        <v>ReOrder</v>
      </c>
    </row>
    <row r="7" spans="1:16" x14ac:dyDescent="0.25">
      <c r="A7" s="3" t="s">
        <v>20</v>
      </c>
      <c r="B7" s="3" t="s">
        <v>21</v>
      </c>
      <c r="C7" s="3" t="s">
        <v>114</v>
      </c>
      <c r="D7" s="3">
        <v>6222</v>
      </c>
      <c r="E7" s="3">
        <v>5330</v>
      </c>
      <c r="F7" s="3">
        <v>4619</v>
      </c>
      <c r="G7" s="3">
        <v>6933</v>
      </c>
      <c r="H7" s="3" t="s">
        <v>112</v>
      </c>
      <c r="L7">
        <f>VLOOKUP(Table3[[#This Row],[SKU_ID]],Table2[],16,0)</f>
        <v>5143.9824606578468</v>
      </c>
      <c r="M7">
        <f>VLOOKUP(Table3[[#This Row],[SKU_ID]],Table2[],18,0)</f>
        <v>1322.3093813842449</v>
      </c>
      <c r="N7">
        <f>VLOOKUP(Table3[[#This Row],[SKU_ID]],Table2[],19,0)</f>
        <v>10456.638148507533</v>
      </c>
      <c r="O7">
        <f>VLOOKUP(Table3[[#This Row],[SKU_ID]],Table2[],20,0)</f>
        <v>4.8417350773688295</v>
      </c>
      <c r="P7" t="str">
        <f>IF(Table3[[#This Row],[Closing_Stock]]&lt;Table7[[#This Row],[Safety Stock]],"Critical",IF(G7&lt;Table7[[#This Row],[Reorder Point]],"ReOrder","OK"))</f>
        <v>ReOrder</v>
      </c>
    </row>
    <row r="8" spans="1:16" x14ac:dyDescent="0.25">
      <c r="A8" s="2" t="s">
        <v>22</v>
      </c>
      <c r="B8" s="2" t="s">
        <v>23</v>
      </c>
      <c r="C8" s="2" t="s">
        <v>111</v>
      </c>
      <c r="D8" s="2">
        <v>10286</v>
      </c>
      <c r="E8" s="2">
        <v>6277</v>
      </c>
      <c r="F8" s="2">
        <v>6984</v>
      </c>
      <c r="G8" s="2">
        <v>9579</v>
      </c>
      <c r="H8" s="2" t="s">
        <v>112</v>
      </c>
      <c r="L8">
        <f>VLOOKUP(Table3[[#This Row],[SKU_ID]],Table2[],16,0)</f>
        <v>9674.795432807181</v>
      </c>
      <c r="M8">
        <f>VLOOKUP(Table3[[#This Row],[SKU_ID]],Table2[],18,0)</f>
        <v>944.87280131660248</v>
      </c>
      <c r="N8">
        <f>VLOOKUP(Table3[[#This Row],[SKU_ID]],Table2[],19,0)</f>
        <v>10176.818006796055</v>
      </c>
      <c r="O8">
        <f>VLOOKUP(Table3[[#This Row],[SKU_ID]],Table2[],20,0)</f>
        <v>3.3319088572734339</v>
      </c>
      <c r="P8" t="str">
        <f>IF(Table3[[#This Row],[Closing_Stock]]&lt;Table7[[#This Row],[Safety Stock]],"Critical",IF(G8&lt;Table7[[#This Row],[Reorder Point]],"ReOrder","OK"))</f>
        <v>ReOrder</v>
      </c>
    </row>
    <row r="9" spans="1:16" x14ac:dyDescent="0.25">
      <c r="A9" s="3" t="s">
        <v>22</v>
      </c>
      <c r="B9" s="3" t="s">
        <v>23</v>
      </c>
      <c r="C9" s="3" t="s">
        <v>113</v>
      </c>
      <c r="D9" s="3">
        <v>7337</v>
      </c>
      <c r="E9" s="3">
        <v>7206</v>
      </c>
      <c r="F9" s="3">
        <v>5547</v>
      </c>
      <c r="G9" s="3">
        <v>8996</v>
      </c>
      <c r="H9" s="3" t="s">
        <v>112</v>
      </c>
      <c r="L9">
        <f>VLOOKUP(Table3[[#This Row],[SKU_ID]],Table2[],16,0)</f>
        <v>9674.795432807181</v>
      </c>
      <c r="M9">
        <f>VLOOKUP(Table3[[#This Row],[SKU_ID]],Table2[],18,0)</f>
        <v>944.87280131660248</v>
      </c>
      <c r="N9">
        <f>VLOOKUP(Table3[[#This Row],[SKU_ID]],Table2[],19,0)</f>
        <v>10176.818006796055</v>
      </c>
      <c r="O9">
        <f>VLOOKUP(Table3[[#This Row],[SKU_ID]],Table2[],20,0)</f>
        <v>3.3319088572734339</v>
      </c>
      <c r="P9" t="str">
        <f>IF(Table3[[#This Row],[Closing_Stock]]&lt;Table7[[#This Row],[Safety Stock]],"Critical",IF(G9&lt;Table7[[#This Row],[Reorder Point]],"ReOrder","OK"))</f>
        <v>ReOrder</v>
      </c>
    </row>
    <row r="10" spans="1:16" x14ac:dyDescent="0.25">
      <c r="A10" s="2" t="s">
        <v>22</v>
      </c>
      <c r="B10" s="2" t="s">
        <v>23</v>
      </c>
      <c r="C10" s="2" t="s">
        <v>114</v>
      </c>
      <c r="D10" s="2">
        <v>10076</v>
      </c>
      <c r="E10" s="2">
        <v>5354</v>
      </c>
      <c r="F10" s="2">
        <v>8396</v>
      </c>
      <c r="G10" s="2">
        <v>7034</v>
      </c>
      <c r="H10" s="2" t="s">
        <v>112</v>
      </c>
      <c r="L10">
        <f>VLOOKUP(Table3[[#This Row],[SKU_ID]],Table2[],16,0)</f>
        <v>9674.795432807181</v>
      </c>
      <c r="M10">
        <f>VLOOKUP(Table3[[#This Row],[SKU_ID]],Table2[],18,0)</f>
        <v>944.87280131660248</v>
      </c>
      <c r="N10">
        <f>VLOOKUP(Table3[[#This Row],[SKU_ID]],Table2[],19,0)</f>
        <v>10176.818006796055</v>
      </c>
      <c r="O10">
        <f>VLOOKUP(Table3[[#This Row],[SKU_ID]],Table2[],20,0)</f>
        <v>3.3319088572734339</v>
      </c>
      <c r="P10" t="str">
        <f>IF(Table3[[#This Row],[Closing_Stock]]&lt;Table7[[#This Row],[Safety Stock]],"Critical",IF(G10&lt;Table7[[#This Row],[Reorder Point]],"ReOrder","OK"))</f>
        <v>ReOrder</v>
      </c>
    </row>
    <row r="11" spans="1:16" x14ac:dyDescent="0.25">
      <c r="A11" s="3" t="s">
        <v>27</v>
      </c>
      <c r="B11" s="3" t="s">
        <v>28</v>
      </c>
      <c r="C11" s="3" t="s">
        <v>111</v>
      </c>
      <c r="D11" s="3">
        <v>3314</v>
      </c>
      <c r="E11" s="3">
        <v>2171</v>
      </c>
      <c r="F11" s="3">
        <v>2854</v>
      </c>
      <c r="G11" s="3">
        <v>2631</v>
      </c>
      <c r="H11" s="3" t="s">
        <v>112</v>
      </c>
      <c r="L11">
        <f>VLOOKUP(Table3[[#This Row],[SKU_ID]],Table2[],16,0)</f>
        <v>3184.165368021751</v>
      </c>
      <c r="M11">
        <f>VLOOKUP(Table3[[#This Row],[SKU_ID]],Table2[],18,0)</f>
        <v>945.30385146302262</v>
      </c>
      <c r="N11">
        <f>VLOOKUP(Table3[[#This Row],[SKU_ID]],Table2[],19,0)</f>
        <v>4000.865495298639</v>
      </c>
      <c r="O11">
        <f>VLOOKUP(Table3[[#This Row],[SKU_ID]],Table2[],20,0)</f>
        <v>23.360680725916364</v>
      </c>
      <c r="P11" t="str">
        <f>IF(Table3[[#This Row],[Closing_Stock]]&lt;Table7[[#This Row],[Safety Stock]],"Critical",IF(G11&lt;Table7[[#This Row],[Reorder Point]],"ReOrder","OK"))</f>
        <v>ReOrder</v>
      </c>
    </row>
    <row r="12" spans="1:16" x14ac:dyDescent="0.25">
      <c r="A12" s="2" t="s">
        <v>27</v>
      </c>
      <c r="B12" s="2" t="s">
        <v>28</v>
      </c>
      <c r="C12" s="2" t="s">
        <v>113</v>
      </c>
      <c r="D12" s="2">
        <v>2785</v>
      </c>
      <c r="E12" s="2">
        <v>1762</v>
      </c>
      <c r="F12" s="2">
        <v>2200</v>
      </c>
      <c r="G12" s="2">
        <v>2347</v>
      </c>
      <c r="H12" s="2" t="s">
        <v>112</v>
      </c>
      <c r="L12">
        <f>VLOOKUP(Table3[[#This Row],[SKU_ID]],Table2[],16,0)</f>
        <v>3184.165368021751</v>
      </c>
      <c r="M12">
        <f>VLOOKUP(Table3[[#This Row],[SKU_ID]],Table2[],18,0)</f>
        <v>945.30385146302262</v>
      </c>
      <c r="N12">
        <f>VLOOKUP(Table3[[#This Row],[SKU_ID]],Table2[],19,0)</f>
        <v>4000.865495298639</v>
      </c>
      <c r="O12">
        <f>VLOOKUP(Table3[[#This Row],[SKU_ID]],Table2[],20,0)</f>
        <v>23.360680725916364</v>
      </c>
      <c r="P12" t="str">
        <f>IF(Table3[[#This Row],[Closing_Stock]]&lt;Table7[[#This Row],[Safety Stock]],"Critical",IF(G12&lt;Table7[[#This Row],[Reorder Point]],"ReOrder","OK"))</f>
        <v>ReOrder</v>
      </c>
    </row>
    <row r="13" spans="1:16" x14ac:dyDescent="0.25">
      <c r="A13" s="3" t="s">
        <v>27</v>
      </c>
      <c r="B13" s="3" t="s">
        <v>28</v>
      </c>
      <c r="C13" s="3" t="s">
        <v>114</v>
      </c>
      <c r="D13" s="3">
        <v>2592</v>
      </c>
      <c r="E13" s="3">
        <v>2159</v>
      </c>
      <c r="F13" s="3">
        <v>2803</v>
      </c>
      <c r="G13" s="3">
        <v>1948</v>
      </c>
      <c r="H13" s="3" t="s">
        <v>112</v>
      </c>
      <c r="L13">
        <f>VLOOKUP(Table3[[#This Row],[SKU_ID]],Table2[],16,0)</f>
        <v>3184.165368021751</v>
      </c>
      <c r="M13">
        <f>VLOOKUP(Table3[[#This Row],[SKU_ID]],Table2[],18,0)</f>
        <v>945.30385146302262</v>
      </c>
      <c r="N13">
        <f>VLOOKUP(Table3[[#This Row],[SKU_ID]],Table2[],19,0)</f>
        <v>4000.865495298639</v>
      </c>
      <c r="O13">
        <f>VLOOKUP(Table3[[#This Row],[SKU_ID]],Table2[],20,0)</f>
        <v>23.360680725916364</v>
      </c>
      <c r="P13" t="str">
        <f>IF(Table3[[#This Row],[Closing_Stock]]&lt;Table7[[#This Row],[Safety Stock]],"Critical",IF(G13&lt;Table7[[#This Row],[Reorder Point]],"ReOrder","OK"))</f>
        <v>ReOrder</v>
      </c>
    </row>
    <row r="14" spans="1:16" x14ac:dyDescent="0.25">
      <c r="A14" s="2" t="s">
        <v>30</v>
      </c>
      <c r="B14" s="2" t="s">
        <v>31</v>
      </c>
      <c r="C14" s="2" t="s">
        <v>111</v>
      </c>
      <c r="D14" s="2">
        <v>14022</v>
      </c>
      <c r="E14" s="2">
        <v>10584</v>
      </c>
      <c r="F14" s="2">
        <v>12886</v>
      </c>
      <c r="G14" s="2">
        <v>11720</v>
      </c>
      <c r="H14" s="2" t="s">
        <v>112</v>
      </c>
      <c r="L14">
        <f>VLOOKUP(Table3[[#This Row],[SKU_ID]],Table2[],16,0)</f>
        <v>9801.0087606976831</v>
      </c>
      <c r="M14">
        <f>VLOOKUP(Table3[[#This Row],[SKU_ID]],Table2[],18,0)</f>
        <v>662.01764809418694</v>
      </c>
      <c r="N14">
        <f>VLOOKUP(Table3[[#This Row],[SKU_ID]],Table2[],19,0)</f>
        <v>8767.883401518844</v>
      </c>
      <c r="O14">
        <f>VLOOKUP(Table3[[#This Row],[SKU_ID]],Table2[],20,0)</f>
        <v>3.0363197157073127</v>
      </c>
      <c r="P14" t="str">
        <f>IF(Table3[[#This Row],[Closing_Stock]]&lt;Table7[[#This Row],[Safety Stock]],"Critical",IF(G14&lt;Table7[[#This Row],[Reorder Point]],"ReOrder","OK"))</f>
        <v>OK</v>
      </c>
    </row>
    <row r="15" spans="1:16" x14ac:dyDescent="0.25">
      <c r="A15" s="3" t="s">
        <v>30</v>
      </c>
      <c r="B15" s="3" t="s">
        <v>31</v>
      </c>
      <c r="C15" s="3" t="s">
        <v>113</v>
      </c>
      <c r="D15" s="3">
        <v>12401</v>
      </c>
      <c r="E15" s="3">
        <v>11301</v>
      </c>
      <c r="F15" s="3">
        <v>9054</v>
      </c>
      <c r="G15" s="3">
        <v>14648</v>
      </c>
      <c r="H15" s="3" t="s">
        <v>112</v>
      </c>
      <c r="L15">
        <f>VLOOKUP(Table3[[#This Row],[SKU_ID]],Table2[],16,0)</f>
        <v>9801.0087606976831</v>
      </c>
      <c r="M15">
        <f>VLOOKUP(Table3[[#This Row],[SKU_ID]],Table2[],18,0)</f>
        <v>662.01764809418694</v>
      </c>
      <c r="N15">
        <f>VLOOKUP(Table3[[#This Row],[SKU_ID]],Table2[],19,0)</f>
        <v>8767.883401518844</v>
      </c>
      <c r="O15">
        <f>VLOOKUP(Table3[[#This Row],[SKU_ID]],Table2[],20,0)</f>
        <v>3.0363197157073127</v>
      </c>
      <c r="P15" t="str">
        <f>IF(Table3[[#This Row],[Closing_Stock]]&lt;Table7[[#This Row],[Safety Stock]],"Critical",IF(G15&lt;Table7[[#This Row],[Reorder Point]],"ReOrder","OK"))</f>
        <v>OK</v>
      </c>
    </row>
    <row r="16" spans="1:16" x14ac:dyDescent="0.25">
      <c r="A16" s="2" t="s">
        <v>30</v>
      </c>
      <c r="B16" s="2" t="s">
        <v>31</v>
      </c>
      <c r="C16" s="2" t="s">
        <v>114</v>
      </c>
      <c r="D16" s="2">
        <v>13385</v>
      </c>
      <c r="E16" s="2">
        <v>10515</v>
      </c>
      <c r="F16" s="2">
        <v>7253</v>
      </c>
      <c r="G16" s="2">
        <v>16647</v>
      </c>
      <c r="H16" s="2" t="s">
        <v>112</v>
      </c>
      <c r="L16">
        <f>VLOOKUP(Table3[[#This Row],[SKU_ID]],Table2[],16,0)</f>
        <v>9801.0087606976831</v>
      </c>
      <c r="M16">
        <f>VLOOKUP(Table3[[#This Row],[SKU_ID]],Table2[],18,0)</f>
        <v>662.01764809418694</v>
      </c>
      <c r="N16">
        <f>VLOOKUP(Table3[[#This Row],[SKU_ID]],Table2[],19,0)</f>
        <v>8767.883401518844</v>
      </c>
      <c r="O16">
        <f>VLOOKUP(Table3[[#This Row],[SKU_ID]],Table2[],20,0)</f>
        <v>3.0363197157073127</v>
      </c>
      <c r="P16" t="str">
        <f>IF(Table3[[#This Row],[Closing_Stock]]&lt;Table7[[#This Row],[Safety Stock]],"Critical",IF(G16&lt;Table7[[#This Row],[Reorder Point]],"ReOrder","OK"))</f>
        <v>OK</v>
      </c>
    </row>
    <row r="17" spans="1:16" x14ac:dyDescent="0.25">
      <c r="A17" s="16" t="s">
        <v>34</v>
      </c>
      <c r="B17" s="3" t="s">
        <v>35</v>
      </c>
      <c r="C17" s="3" t="s">
        <v>111</v>
      </c>
      <c r="D17" s="3">
        <v>10101</v>
      </c>
      <c r="E17" s="3">
        <v>7249</v>
      </c>
      <c r="F17" s="3">
        <v>10659</v>
      </c>
      <c r="G17" s="3">
        <v>6691</v>
      </c>
      <c r="H17" s="3" t="s">
        <v>112</v>
      </c>
      <c r="L17">
        <f>VLOOKUP(Table3[[#This Row],[SKU_ID]],Table2[],16,0)</f>
        <v>8820.5215265311836</v>
      </c>
      <c r="M17">
        <f>VLOOKUP(Table3[[#This Row],[SKU_ID]],Table2[],18,0)</f>
        <v>662.31899564702553</v>
      </c>
      <c r="N17">
        <f>VLOOKUP(Table3[[#This Row],[SKU_ID]],Table2[],19,0)</f>
        <v>8122.7463929073001</v>
      </c>
      <c r="O17">
        <f>VLOOKUP(Table3[[#This Row],[SKU_ID]],Table2[],20,0)</f>
        <v>6.5051232879529461</v>
      </c>
      <c r="P17" t="str">
        <f>IF(Table3[[#This Row],[Closing_Stock]]&lt;Table7[[#This Row],[Safety Stock]],"Critical",IF(G17&lt;Table7[[#This Row],[Reorder Point]],"ReOrder","OK"))</f>
        <v>ReOrder</v>
      </c>
    </row>
    <row r="18" spans="1:16" x14ac:dyDescent="0.25">
      <c r="A18" s="2" t="s">
        <v>34</v>
      </c>
      <c r="B18" s="2" t="s">
        <v>35</v>
      </c>
      <c r="C18" s="2" t="s">
        <v>113</v>
      </c>
      <c r="D18" s="2">
        <v>10234</v>
      </c>
      <c r="E18" s="2">
        <v>8315</v>
      </c>
      <c r="F18" s="2">
        <v>9945</v>
      </c>
      <c r="G18" s="2">
        <v>8604</v>
      </c>
      <c r="H18" s="2" t="s">
        <v>112</v>
      </c>
      <c r="L18">
        <f>VLOOKUP(Table3[[#This Row],[SKU_ID]],Table2[],16,0)</f>
        <v>8820.5215265311836</v>
      </c>
      <c r="M18">
        <f>VLOOKUP(Table3[[#This Row],[SKU_ID]],Table2[],18,0)</f>
        <v>662.31899564702553</v>
      </c>
      <c r="N18">
        <f>VLOOKUP(Table3[[#This Row],[SKU_ID]],Table2[],19,0)</f>
        <v>8122.7463929073001</v>
      </c>
      <c r="O18">
        <f>VLOOKUP(Table3[[#This Row],[SKU_ID]],Table2[],20,0)</f>
        <v>6.5051232879529461</v>
      </c>
      <c r="P18" t="str">
        <f>IF(Table3[[#This Row],[Closing_Stock]]&lt;Table7[[#This Row],[Safety Stock]],"Critical",IF(G18&lt;Table7[[#This Row],[Reorder Point]],"ReOrder","OK"))</f>
        <v>OK</v>
      </c>
    </row>
    <row r="19" spans="1:16" x14ac:dyDescent="0.25">
      <c r="A19" s="3" t="s">
        <v>34</v>
      </c>
      <c r="B19" s="3" t="s">
        <v>35</v>
      </c>
      <c r="C19" s="3" t="s">
        <v>114</v>
      </c>
      <c r="D19" s="3">
        <v>9446</v>
      </c>
      <c r="E19" s="3">
        <v>7587</v>
      </c>
      <c r="F19" s="3">
        <v>6495</v>
      </c>
      <c r="G19" s="3">
        <v>10538</v>
      </c>
      <c r="H19" s="3" t="s">
        <v>112</v>
      </c>
      <c r="L19">
        <f>VLOOKUP(Table3[[#This Row],[SKU_ID]],Table2[],16,0)</f>
        <v>8820.5215265311836</v>
      </c>
      <c r="M19">
        <f>VLOOKUP(Table3[[#This Row],[SKU_ID]],Table2[],18,0)</f>
        <v>662.31899564702553</v>
      </c>
      <c r="N19">
        <f>VLOOKUP(Table3[[#This Row],[SKU_ID]],Table2[],19,0)</f>
        <v>8122.7463929073001</v>
      </c>
      <c r="O19">
        <f>VLOOKUP(Table3[[#This Row],[SKU_ID]],Table2[],20,0)</f>
        <v>6.5051232879529461</v>
      </c>
      <c r="P19" t="str">
        <f>IF(Table3[[#This Row],[Closing_Stock]]&lt;Table7[[#This Row],[Safety Stock]],"Critical",IF(G19&lt;Table7[[#This Row],[Reorder Point]],"ReOrder","OK"))</f>
        <v>OK</v>
      </c>
    </row>
    <row r="20" spans="1:16" x14ac:dyDescent="0.25">
      <c r="A20" s="2" t="s">
        <v>36</v>
      </c>
      <c r="B20" s="2" t="s">
        <v>37</v>
      </c>
      <c r="C20" s="2" t="s">
        <v>111</v>
      </c>
      <c r="D20" s="2">
        <v>2293</v>
      </c>
      <c r="E20" s="2">
        <v>1653</v>
      </c>
      <c r="F20" s="2">
        <v>1809</v>
      </c>
      <c r="G20" s="2">
        <v>2137</v>
      </c>
      <c r="H20" s="2" t="s">
        <v>112</v>
      </c>
      <c r="L20">
        <f>VLOOKUP(Table3[[#This Row],[SKU_ID]],Table2[],16,0)</f>
        <v>1613.897972818191</v>
      </c>
      <c r="M20">
        <f>VLOOKUP(Table3[[#This Row],[SKU_ID]],Table2[],18,0)</f>
        <v>1987.883294691605</v>
      </c>
      <c r="N20">
        <f>VLOOKUP(Table3[[#This Row],[SKU_ID]],Table2[],19,0)</f>
        <v>5584.4641166094134</v>
      </c>
      <c r="O20">
        <f>VLOOKUP(Table3[[#This Row],[SKU_ID]],Table2[],20,0)</f>
        <v>55.930621320706422</v>
      </c>
      <c r="P20" t="str">
        <f>IF(Table3[[#This Row],[Closing_Stock]]&lt;Table7[[#This Row],[Safety Stock]],"Critical",IF(G20&lt;Table7[[#This Row],[Reorder Point]],"ReOrder","OK"))</f>
        <v>ReOrder</v>
      </c>
    </row>
    <row r="21" spans="1:16" x14ac:dyDescent="0.25">
      <c r="A21" s="3" t="s">
        <v>36</v>
      </c>
      <c r="B21" s="3" t="s">
        <v>37</v>
      </c>
      <c r="C21" s="3" t="s">
        <v>113</v>
      </c>
      <c r="D21" s="3">
        <v>2197</v>
      </c>
      <c r="E21" s="3">
        <v>1318</v>
      </c>
      <c r="F21" s="3">
        <v>1176</v>
      </c>
      <c r="G21" s="3">
        <v>2339</v>
      </c>
      <c r="H21" s="3" t="s">
        <v>112</v>
      </c>
      <c r="L21">
        <f>VLOOKUP(Table3[[#This Row],[SKU_ID]],Table2[],16,0)</f>
        <v>1613.897972818191</v>
      </c>
      <c r="M21">
        <f>VLOOKUP(Table3[[#This Row],[SKU_ID]],Table2[],18,0)</f>
        <v>1987.883294691605</v>
      </c>
      <c r="N21">
        <f>VLOOKUP(Table3[[#This Row],[SKU_ID]],Table2[],19,0)</f>
        <v>5584.4641166094134</v>
      </c>
      <c r="O21">
        <f>VLOOKUP(Table3[[#This Row],[SKU_ID]],Table2[],20,0)</f>
        <v>55.930621320706422</v>
      </c>
      <c r="P21" t="str">
        <f>IF(Table3[[#This Row],[Closing_Stock]]&lt;Table7[[#This Row],[Safety Stock]],"Critical",IF(G21&lt;Table7[[#This Row],[Reorder Point]],"ReOrder","OK"))</f>
        <v>ReOrder</v>
      </c>
    </row>
    <row r="22" spans="1:16" x14ac:dyDescent="0.25">
      <c r="A22" s="2" t="s">
        <v>36</v>
      </c>
      <c r="B22" s="2" t="s">
        <v>37</v>
      </c>
      <c r="C22" s="2" t="s">
        <v>114</v>
      </c>
      <c r="D22" s="2">
        <v>1297</v>
      </c>
      <c r="E22" s="2">
        <v>836</v>
      </c>
      <c r="F22" s="2">
        <v>1426</v>
      </c>
      <c r="G22" s="2">
        <v>707</v>
      </c>
      <c r="H22" s="2" t="s">
        <v>112</v>
      </c>
      <c r="L22">
        <f>VLOOKUP(Table3[[#This Row],[SKU_ID]],Table2[],16,0)</f>
        <v>1613.897972818191</v>
      </c>
      <c r="M22">
        <f>VLOOKUP(Table3[[#This Row],[SKU_ID]],Table2[],18,0)</f>
        <v>1987.883294691605</v>
      </c>
      <c r="N22">
        <f>VLOOKUP(Table3[[#This Row],[SKU_ID]],Table2[],19,0)</f>
        <v>5584.4641166094134</v>
      </c>
      <c r="O22">
        <f>VLOOKUP(Table3[[#This Row],[SKU_ID]],Table2[],20,0)</f>
        <v>55.930621320706422</v>
      </c>
      <c r="P22" t="str">
        <f>IF(Table3[[#This Row],[Closing_Stock]]&lt;Table7[[#This Row],[Safety Stock]],"Critical",IF(G22&lt;Table7[[#This Row],[Reorder Point]],"ReOrder","OK"))</f>
        <v>Critical</v>
      </c>
    </row>
    <row r="23" spans="1:16" x14ac:dyDescent="0.25">
      <c r="A23" s="3" t="s">
        <v>39</v>
      </c>
      <c r="B23" s="3" t="s">
        <v>40</v>
      </c>
      <c r="C23" s="3" t="s">
        <v>111</v>
      </c>
      <c r="D23" s="3">
        <v>1781</v>
      </c>
      <c r="E23" s="3">
        <v>1625</v>
      </c>
      <c r="F23" s="3">
        <v>1684</v>
      </c>
      <c r="G23" s="3">
        <v>1722</v>
      </c>
      <c r="H23" s="3" t="s">
        <v>112</v>
      </c>
      <c r="L23">
        <f>VLOOKUP(Table3[[#This Row],[SKU_ID]],Table2[],16,0)</f>
        <v>2058.8427169974234</v>
      </c>
      <c r="M23">
        <f>VLOOKUP(Table3[[#This Row],[SKU_ID]],Table2[],18,0)</f>
        <v>1988.810940638125</v>
      </c>
      <c r="N23">
        <f>VLOOKUP(Table3[[#This Row],[SKU_ID]],Table2[],19,0)</f>
        <v>6378.6164200901803</v>
      </c>
      <c r="O23">
        <f>VLOOKUP(Table3[[#This Row],[SKU_ID]],Table2[],20,0)</f>
        <v>43.035164287867467</v>
      </c>
      <c r="P23" t="str">
        <f>IF(Table3[[#This Row],[Closing_Stock]]&lt;Table7[[#This Row],[Safety Stock]],"Critical",IF(G23&lt;Table7[[#This Row],[Reorder Point]],"ReOrder","OK"))</f>
        <v>Critical</v>
      </c>
    </row>
    <row r="24" spans="1:16" x14ac:dyDescent="0.25">
      <c r="A24" s="2" t="s">
        <v>39</v>
      </c>
      <c r="B24" s="2" t="s">
        <v>40</v>
      </c>
      <c r="C24" s="2" t="s">
        <v>113</v>
      </c>
      <c r="D24" s="2">
        <v>2313</v>
      </c>
      <c r="E24" s="2">
        <v>1887</v>
      </c>
      <c r="F24" s="2">
        <v>1610</v>
      </c>
      <c r="G24" s="2">
        <v>2590</v>
      </c>
      <c r="H24" s="2" t="s">
        <v>112</v>
      </c>
      <c r="L24">
        <f>VLOOKUP(Table3[[#This Row],[SKU_ID]],Table2[],16,0)</f>
        <v>2058.8427169974234</v>
      </c>
      <c r="M24">
        <f>VLOOKUP(Table3[[#This Row],[SKU_ID]],Table2[],18,0)</f>
        <v>1988.810940638125</v>
      </c>
      <c r="N24">
        <f>VLOOKUP(Table3[[#This Row],[SKU_ID]],Table2[],19,0)</f>
        <v>6378.6164200901803</v>
      </c>
      <c r="O24">
        <f>VLOOKUP(Table3[[#This Row],[SKU_ID]],Table2[],20,0)</f>
        <v>43.035164287867467</v>
      </c>
      <c r="P24" t="str">
        <f>IF(Table3[[#This Row],[Closing_Stock]]&lt;Table7[[#This Row],[Safety Stock]],"Critical",IF(G24&lt;Table7[[#This Row],[Reorder Point]],"ReOrder","OK"))</f>
        <v>ReOrder</v>
      </c>
    </row>
    <row r="25" spans="1:16" x14ac:dyDescent="0.25">
      <c r="A25" s="3" t="s">
        <v>39</v>
      </c>
      <c r="B25" s="3" t="s">
        <v>40</v>
      </c>
      <c r="C25" s="3" t="s">
        <v>114</v>
      </c>
      <c r="D25" s="3">
        <v>1720</v>
      </c>
      <c r="E25" s="3">
        <v>1744</v>
      </c>
      <c r="F25" s="3">
        <v>2002</v>
      </c>
      <c r="G25" s="3">
        <v>1462</v>
      </c>
      <c r="H25" s="3" t="s">
        <v>112</v>
      </c>
      <c r="L25">
        <f>VLOOKUP(Table3[[#This Row],[SKU_ID]],Table2[],16,0)</f>
        <v>2058.8427169974234</v>
      </c>
      <c r="M25">
        <f>VLOOKUP(Table3[[#This Row],[SKU_ID]],Table2[],18,0)</f>
        <v>1988.810940638125</v>
      </c>
      <c r="N25">
        <f>VLOOKUP(Table3[[#This Row],[SKU_ID]],Table2[],19,0)</f>
        <v>6378.6164200901803</v>
      </c>
      <c r="O25">
        <f>VLOOKUP(Table3[[#This Row],[SKU_ID]],Table2[],20,0)</f>
        <v>43.035164287867467</v>
      </c>
      <c r="P25" t="str">
        <f>IF(Table3[[#This Row],[Closing_Stock]]&lt;Table7[[#This Row],[Safety Stock]],"Critical",IF(G25&lt;Table7[[#This Row],[Reorder Point]],"ReOrder","OK"))</f>
        <v>Critical</v>
      </c>
    </row>
    <row r="26" spans="1:16" x14ac:dyDescent="0.25">
      <c r="A26" s="2" t="s">
        <v>41</v>
      </c>
      <c r="B26" s="2" t="s">
        <v>42</v>
      </c>
      <c r="C26" s="2" t="s">
        <v>111</v>
      </c>
      <c r="D26" s="2">
        <v>2323</v>
      </c>
      <c r="E26" s="2">
        <v>1606</v>
      </c>
      <c r="F26" s="2">
        <v>2666</v>
      </c>
      <c r="G26" s="2">
        <v>1263</v>
      </c>
      <c r="H26" s="2" t="s">
        <v>112</v>
      </c>
      <c r="L26">
        <f>VLOOKUP(Table3[[#This Row],[SKU_ID]],Table2[],16,0)</f>
        <v>2726.1835820569609</v>
      </c>
      <c r="M26">
        <f>VLOOKUP(Table3[[#This Row],[SKU_ID]],Table2[],18,0)</f>
        <v>1326.482420838033</v>
      </c>
      <c r="N26">
        <f>VLOOKUP(Table3[[#This Row],[SKU_ID]],Table2[],19,0)</f>
        <v>5032.3399550846079</v>
      </c>
      <c r="O26">
        <f>VLOOKUP(Table3[[#This Row],[SKU_ID]],Table2[],20,0)</f>
        <v>26.573066851589267</v>
      </c>
      <c r="P26" t="str">
        <f>IF(Table3[[#This Row],[Closing_Stock]]&lt;Table7[[#This Row],[Safety Stock]],"Critical",IF(G26&lt;Table7[[#This Row],[Reorder Point]],"ReOrder","OK"))</f>
        <v>Critical</v>
      </c>
    </row>
    <row r="27" spans="1:16" x14ac:dyDescent="0.25">
      <c r="A27" s="3" t="s">
        <v>41</v>
      </c>
      <c r="B27" s="3" t="s">
        <v>42</v>
      </c>
      <c r="C27" s="3" t="s">
        <v>113</v>
      </c>
      <c r="D27" s="3">
        <v>2316</v>
      </c>
      <c r="E27" s="3">
        <v>1477</v>
      </c>
      <c r="F27" s="3">
        <v>2295</v>
      </c>
      <c r="G27" s="3">
        <v>1498</v>
      </c>
      <c r="H27" s="3" t="s">
        <v>112</v>
      </c>
      <c r="L27">
        <f>VLOOKUP(Table3[[#This Row],[SKU_ID]],Table2[],16,0)</f>
        <v>2726.1835820569609</v>
      </c>
      <c r="M27">
        <f>VLOOKUP(Table3[[#This Row],[SKU_ID]],Table2[],18,0)</f>
        <v>1326.482420838033</v>
      </c>
      <c r="N27">
        <f>VLOOKUP(Table3[[#This Row],[SKU_ID]],Table2[],19,0)</f>
        <v>5032.3399550846079</v>
      </c>
      <c r="O27">
        <f>VLOOKUP(Table3[[#This Row],[SKU_ID]],Table2[],20,0)</f>
        <v>26.573066851589267</v>
      </c>
      <c r="P27" t="str">
        <f>IF(Table3[[#This Row],[Closing_Stock]]&lt;Table7[[#This Row],[Safety Stock]],"Critical",IF(G27&lt;Table7[[#This Row],[Reorder Point]],"ReOrder","OK"))</f>
        <v>ReOrder</v>
      </c>
    </row>
    <row r="28" spans="1:16" x14ac:dyDescent="0.25">
      <c r="A28" s="2" t="s">
        <v>41</v>
      </c>
      <c r="B28" s="2" t="s">
        <v>42</v>
      </c>
      <c r="C28" s="2" t="s">
        <v>114</v>
      </c>
      <c r="D28" s="2">
        <v>2420</v>
      </c>
      <c r="E28" s="2">
        <v>1321</v>
      </c>
      <c r="F28" s="2">
        <v>2346</v>
      </c>
      <c r="G28" s="2">
        <v>1395</v>
      </c>
      <c r="H28" s="2" t="s">
        <v>112</v>
      </c>
      <c r="L28">
        <f>VLOOKUP(Table3[[#This Row],[SKU_ID]],Table2[],16,0)</f>
        <v>2726.1835820569609</v>
      </c>
      <c r="M28">
        <f>VLOOKUP(Table3[[#This Row],[SKU_ID]],Table2[],18,0)</f>
        <v>1326.482420838033</v>
      </c>
      <c r="N28">
        <f>VLOOKUP(Table3[[#This Row],[SKU_ID]],Table2[],19,0)</f>
        <v>5032.3399550846079</v>
      </c>
      <c r="O28">
        <f>VLOOKUP(Table3[[#This Row],[SKU_ID]],Table2[],20,0)</f>
        <v>26.573066851589267</v>
      </c>
      <c r="P28" t="str">
        <f>IF(Table3[[#This Row],[Closing_Stock]]&lt;Table7[[#This Row],[Safety Stock]],"Critical",IF(G28&lt;Table7[[#This Row],[Reorder Point]],"ReOrder","OK"))</f>
        <v>ReOrder</v>
      </c>
    </row>
    <row r="29" spans="1:16" x14ac:dyDescent="0.25">
      <c r="A29" s="3" t="s">
        <v>45</v>
      </c>
      <c r="B29" s="3" t="s">
        <v>46</v>
      </c>
      <c r="C29" s="3" t="s">
        <v>111</v>
      </c>
      <c r="D29" s="3">
        <v>3958</v>
      </c>
      <c r="E29" s="3">
        <v>2775</v>
      </c>
      <c r="F29" s="3">
        <v>2688</v>
      </c>
      <c r="G29" s="3">
        <v>4045</v>
      </c>
      <c r="H29" s="3" t="s">
        <v>112</v>
      </c>
      <c r="L29">
        <f>VLOOKUP(Table3[[#This Row],[SKU_ID]],Table2[],16,0)</f>
        <v>3366.4656405629494</v>
      </c>
      <c r="M29">
        <f>VLOOKUP(Table3[[#This Row],[SKU_ID]],Table2[],18,0)</f>
        <v>1990.6497512678752</v>
      </c>
      <c r="N29">
        <f>VLOOKUP(Table3[[#This Row],[SKU_ID]],Table2[],19,0)</f>
        <v>9163.09906633637</v>
      </c>
      <c r="O29">
        <f>VLOOKUP(Table3[[#This Row],[SKU_ID]],Table2[],20,0)</f>
        <v>7.7032262722197258</v>
      </c>
      <c r="P29" t="str">
        <f>IF(Table3[[#This Row],[Closing_Stock]]&lt;Table7[[#This Row],[Safety Stock]],"Critical",IF(G29&lt;Table7[[#This Row],[Reorder Point]],"ReOrder","OK"))</f>
        <v>ReOrder</v>
      </c>
    </row>
    <row r="30" spans="1:16" x14ac:dyDescent="0.25">
      <c r="A30" s="2" t="s">
        <v>45</v>
      </c>
      <c r="B30" s="2" t="s">
        <v>46</v>
      </c>
      <c r="C30" s="2" t="s">
        <v>113</v>
      </c>
      <c r="D30" s="2">
        <v>3196</v>
      </c>
      <c r="E30" s="2">
        <v>3284</v>
      </c>
      <c r="F30" s="2">
        <v>3212</v>
      </c>
      <c r="G30" s="2">
        <v>3268</v>
      </c>
      <c r="H30" s="2" t="s">
        <v>112</v>
      </c>
      <c r="L30">
        <f>VLOOKUP(Table3[[#This Row],[SKU_ID]],Table2[],16,0)</f>
        <v>3366.4656405629494</v>
      </c>
      <c r="M30">
        <f>VLOOKUP(Table3[[#This Row],[SKU_ID]],Table2[],18,0)</f>
        <v>1990.6497512678752</v>
      </c>
      <c r="N30">
        <f>VLOOKUP(Table3[[#This Row],[SKU_ID]],Table2[],19,0)</f>
        <v>9163.09906633637</v>
      </c>
      <c r="O30">
        <f>VLOOKUP(Table3[[#This Row],[SKU_ID]],Table2[],20,0)</f>
        <v>7.7032262722197258</v>
      </c>
      <c r="P30" t="str">
        <f>IF(Table3[[#This Row],[Closing_Stock]]&lt;Table7[[#This Row],[Safety Stock]],"Critical",IF(G30&lt;Table7[[#This Row],[Reorder Point]],"ReOrder","OK"))</f>
        <v>ReOrder</v>
      </c>
    </row>
    <row r="31" spans="1:16" x14ac:dyDescent="0.25">
      <c r="A31" s="3" t="s">
        <v>45</v>
      </c>
      <c r="B31" s="3" t="s">
        <v>46</v>
      </c>
      <c r="C31" s="3" t="s">
        <v>114</v>
      </c>
      <c r="D31" s="3">
        <v>3136</v>
      </c>
      <c r="E31" s="3">
        <v>2524</v>
      </c>
      <c r="F31" s="3">
        <v>2598</v>
      </c>
      <c r="G31" s="3">
        <v>3062</v>
      </c>
      <c r="H31" s="3" t="s">
        <v>112</v>
      </c>
      <c r="L31">
        <f>VLOOKUP(Table3[[#This Row],[SKU_ID]],Table2[],16,0)</f>
        <v>3366.4656405629494</v>
      </c>
      <c r="M31">
        <f>VLOOKUP(Table3[[#This Row],[SKU_ID]],Table2[],18,0)</f>
        <v>1990.6497512678752</v>
      </c>
      <c r="N31">
        <f>VLOOKUP(Table3[[#This Row],[SKU_ID]],Table2[],19,0)</f>
        <v>9163.09906633637</v>
      </c>
      <c r="O31">
        <f>VLOOKUP(Table3[[#This Row],[SKU_ID]],Table2[],20,0)</f>
        <v>7.7032262722197258</v>
      </c>
      <c r="P31" t="str">
        <f>IF(Table3[[#This Row],[Closing_Stock]]&lt;Table7[[#This Row],[Safety Stock]],"Critical",IF(G31&lt;Table7[[#This Row],[Reorder Point]],"ReOrder","OK"))</f>
        <v>ReOrder</v>
      </c>
    </row>
    <row r="32" spans="1:16" x14ac:dyDescent="0.25">
      <c r="A32" s="2" t="s">
        <v>47</v>
      </c>
      <c r="B32" s="2" t="s">
        <v>48</v>
      </c>
      <c r="C32" s="2" t="s">
        <v>111</v>
      </c>
      <c r="D32" s="2">
        <v>3642</v>
      </c>
      <c r="E32" s="2">
        <v>3243</v>
      </c>
      <c r="F32" s="2">
        <v>3347</v>
      </c>
      <c r="G32" s="2">
        <v>3538</v>
      </c>
      <c r="H32" s="2" t="s">
        <v>112</v>
      </c>
      <c r="L32">
        <f>VLOOKUP(Table3[[#This Row],[SKU_ID]],Table2[],16,0)</f>
        <v>3107.4909493029904</v>
      </c>
      <c r="M32">
        <f>VLOOKUP(Table3[[#This Row],[SKU_ID]],Table2[],18,0)</f>
        <v>1327.7153062013226</v>
      </c>
      <c r="N32">
        <f>VLOOKUP(Table3[[#This Row],[SKU_ID]],Table2[],19,0)</f>
        <v>6513.1235253794057</v>
      </c>
      <c r="O32">
        <f>VLOOKUP(Table3[[#This Row],[SKU_ID]],Table2[],20,0)</f>
        <v>6.3366274382170413</v>
      </c>
      <c r="P32" t="str">
        <f>IF(Table3[[#This Row],[Closing_Stock]]&lt;Table7[[#This Row],[Safety Stock]],"Critical",IF(G32&lt;Table7[[#This Row],[Reorder Point]],"ReOrder","OK"))</f>
        <v>ReOrder</v>
      </c>
    </row>
    <row r="33" spans="1:16" x14ac:dyDescent="0.25">
      <c r="A33" s="3" t="s">
        <v>47</v>
      </c>
      <c r="B33" s="3" t="s">
        <v>48</v>
      </c>
      <c r="C33" s="3" t="s">
        <v>113</v>
      </c>
      <c r="D33" s="3">
        <v>4493</v>
      </c>
      <c r="E33" s="3">
        <v>2912</v>
      </c>
      <c r="F33" s="3">
        <v>2810</v>
      </c>
      <c r="G33" s="3">
        <v>4595</v>
      </c>
      <c r="H33" s="3" t="s">
        <v>112</v>
      </c>
      <c r="L33">
        <f>VLOOKUP(Table3[[#This Row],[SKU_ID]],Table2[],16,0)</f>
        <v>3107.4909493029904</v>
      </c>
      <c r="M33">
        <f>VLOOKUP(Table3[[#This Row],[SKU_ID]],Table2[],18,0)</f>
        <v>1327.7153062013226</v>
      </c>
      <c r="N33">
        <f>VLOOKUP(Table3[[#This Row],[SKU_ID]],Table2[],19,0)</f>
        <v>6513.1235253794057</v>
      </c>
      <c r="O33">
        <f>VLOOKUP(Table3[[#This Row],[SKU_ID]],Table2[],20,0)</f>
        <v>6.3366274382170413</v>
      </c>
      <c r="P33" t="str">
        <f>IF(Table3[[#This Row],[Closing_Stock]]&lt;Table7[[#This Row],[Safety Stock]],"Critical",IF(G33&lt;Table7[[#This Row],[Reorder Point]],"ReOrder","OK"))</f>
        <v>ReOrder</v>
      </c>
    </row>
    <row r="34" spans="1:16" x14ac:dyDescent="0.25">
      <c r="A34" s="2" t="s">
        <v>47</v>
      </c>
      <c r="B34" s="2" t="s">
        <v>48</v>
      </c>
      <c r="C34" s="2" t="s">
        <v>114</v>
      </c>
      <c r="D34" s="2">
        <v>3787</v>
      </c>
      <c r="E34" s="2">
        <v>3033</v>
      </c>
      <c r="F34" s="2">
        <v>2639</v>
      </c>
      <c r="G34" s="2">
        <v>4181</v>
      </c>
      <c r="H34" s="2" t="s">
        <v>112</v>
      </c>
      <c r="L34">
        <f>VLOOKUP(Table3[[#This Row],[SKU_ID]],Table2[],16,0)</f>
        <v>3107.4909493029904</v>
      </c>
      <c r="M34">
        <f>VLOOKUP(Table3[[#This Row],[SKU_ID]],Table2[],18,0)</f>
        <v>1327.7153062013226</v>
      </c>
      <c r="N34">
        <f>VLOOKUP(Table3[[#This Row],[SKU_ID]],Table2[],19,0)</f>
        <v>6513.1235253794057</v>
      </c>
      <c r="O34">
        <f>VLOOKUP(Table3[[#This Row],[SKU_ID]],Table2[],20,0)</f>
        <v>6.3366274382170413</v>
      </c>
      <c r="P34" t="str">
        <f>IF(Table3[[#This Row],[Closing_Stock]]&lt;Table7[[#This Row],[Safety Stock]],"Critical",IF(G34&lt;Table7[[#This Row],[Reorder Point]],"ReOrder","OK"))</f>
        <v>ReOrder</v>
      </c>
    </row>
    <row r="35" spans="1:16" x14ac:dyDescent="0.25">
      <c r="A35" s="3" t="s">
        <v>49</v>
      </c>
      <c r="B35" s="3" t="s">
        <v>50</v>
      </c>
      <c r="C35" s="3" t="s">
        <v>111</v>
      </c>
      <c r="D35" s="3">
        <v>1750</v>
      </c>
      <c r="E35" s="3">
        <v>970</v>
      </c>
      <c r="F35" s="3">
        <v>1033</v>
      </c>
      <c r="G35" s="3">
        <v>1687</v>
      </c>
      <c r="H35" s="3" t="s">
        <v>112</v>
      </c>
      <c r="L35">
        <f>VLOOKUP(Table3[[#This Row],[SKU_ID]],Table2[],16,0)</f>
        <v>2397.0352057860514</v>
      </c>
      <c r="M35">
        <f>VLOOKUP(Table3[[#This Row],[SKU_ID]],Table2[],18,0)</f>
        <v>1328.3367873504972</v>
      </c>
      <c r="N35">
        <f>VLOOKUP(Table3[[#This Row],[SKU_ID]],Table2[],19,0)</f>
        <v>3311.8107599532368</v>
      </c>
      <c r="O35">
        <f>VLOOKUP(Table3[[#This Row],[SKU_ID]],Table2[],20,0)</f>
        <v>13.749613242574259</v>
      </c>
      <c r="P35" t="str">
        <f>IF(Table3[[#This Row],[Closing_Stock]]&lt;Table7[[#This Row],[Safety Stock]],"Critical",IF(G35&lt;Table7[[#This Row],[Reorder Point]],"ReOrder","OK"))</f>
        <v>ReOrder</v>
      </c>
    </row>
    <row r="36" spans="1:16" x14ac:dyDescent="0.25">
      <c r="A36" s="2" t="s">
        <v>49</v>
      </c>
      <c r="B36" s="2" t="s">
        <v>50</v>
      </c>
      <c r="C36" s="2" t="s">
        <v>113</v>
      </c>
      <c r="D36" s="2">
        <v>1141</v>
      </c>
      <c r="E36" s="2">
        <v>1212</v>
      </c>
      <c r="F36" s="2">
        <v>1263</v>
      </c>
      <c r="G36" s="2">
        <v>1090</v>
      </c>
      <c r="H36" s="2" t="s">
        <v>112</v>
      </c>
      <c r="L36">
        <f>VLOOKUP(Table3[[#This Row],[SKU_ID]],Table2[],16,0)</f>
        <v>2397.0352057860514</v>
      </c>
      <c r="M36">
        <f>VLOOKUP(Table3[[#This Row],[SKU_ID]],Table2[],18,0)</f>
        <v>1328.3367873504972</v>
      </c>
      <c r="N36">
        <f>VLOOKUP(Table3[[#This Row],[SKU_ID]],Table2[],19,0)</f>
        <v>3311.8107599532368</v>
      </c>
      <c r="O36">
        <f>VLOOKUP(Table3[[#This Row],[SKU_ID]],Table2[],20,0)</f>
        <v>13.749613242574259</v>
      </c>
      <c r="P36" t="str">
        <f>IF(Table3[[#This Row],[Closing_Stock]]&lt;Table7[[#This Row],[Safety Stock]],"Critical",IF(G36&lt;Table7[[#This Row],[Reorder Point]],"ReOrder","OK"))</f>
        <v>Critical</v>
      </c>
    </row>
    <row r="37" spans="1:16" x14ac:dyDescent="0.25">
      <c r="A37" s="3" t="s">
        <v>49</v>
      </c>
      <c r="B37" s="3" t="s">
        <v>50</v>
      </c>
      <c r="C37" s="3" t="s">
        <v>114</v>
      </c>
      <c r="D37" s="3">
        <v>1617</v>
      </c>
      <c r="E37" s="3">
        <v>1168</v>
      </c>
      <c r="F37" s="3">
        <v>1166</v>
      </c>
      <c r="G37" s="3">
        <v>1619</v>
      </c>
      <c r="H37" s="3" t="s">
        <v>112</v>
      </c>
      <c r="L37">
        <f>VLOOKUP(Table3[[#This Row],[SKU_ID]],Table2[],16,0)</f>
        <v>2397.0352057860514</v>
      </c>
      <c r="M37">
        <f>VLOOKUP(Table3[[#This Row],[SKU_ID]],Table2[],18,0)</f>
        <v>1328.3367873504972</v>
      </c>
      <c r="N37">
        <f>VLOOKUP(Table3[[#This Row],[SKU_ID]],Table2[],19,0)</f>
        <v>3311.8107599532368</v>
      </c>
      <c r="O37">
        <f>VLOOKUP(Table3[[#This Row],[SKU_ID]],Table2[],20,0)</f>
        <v>13.749613242574259</v>
      </c>
      <c r="P37" t="str">
        <f>IF(Table3[[#This Row],[Closing_Stock]]&lt;Table7[[#This Row],[Safety Stock]],"Critical",IF(G37&lt;Table7[[#This Row],[Reorder Point]],"ReOrder","OK"))</f>
        <v>ReOrder</v>
      </c>
    </row>
    <row r="38" spans="1:16" x14ac:dyDescent="0.25">
      <c r="A38" s="2" t="s">
        <v>53</v>
      </c>
      <c r="B38" s="2" t="s">
        <v>54</v>
      </c>
      <c r="C38" s="2" t="s">
        <v>111</v>
      </c>
      <c r="D38" s="2">
        <v>3742</v>
      </c>
      <c r="E38" s="2">
        <v>2768</v>
      </c>
      <c r="F38" s="2">
        <v>4218</v>
      </c>
      <c r="G38" s="2">
        <v>2292</v>
      </c>
      <c r="H38" s="2" t="s">
        <v>112</v>
      </c>
      <c r="L38">
        <f>VLOOKUP(Table3[[#This Row],[SKU_ID]],Table2[],16,0)</f>
        <v>3643.4748648658319</v>
      </c>
      <c r="M38">
        <f>VLOOKUP(Table3[[#This Row],[SKU_ID]],Table2[],18,0)</f>
        <v>949.22236595786455</v>
      </c>
      <c r="N38">
        <f>VLOOKUP(Table3[[#This Row],[SKU_ID]],Table2[],19,0)</f>
        <v>4949.8799002044398</v>
      </c>
      <c r="O38">
        <f>VLOOKUP(Table3[[#This Row],[SKU_ID]],Table2[],20,0)</f>
        <v>29.295184353257</v>
      </c>
      <c r="P38" t="str">
        <f>IF(Table3[[#This Row],[Closing_Stock]]&lt;Table7[[#This Row],[Safety Stock]],"Critical",IF(G38&lt;Table7[[#This Row],[Reorder Point]],"ReOrder","OK"))</f>
        <v>ReOrder</v>
      </c>
    </row>
    <row r="39" spans="1:16" x14ac:dyDescent="0.25">
      <c r="A39" s="3" t="s">
        <v>53</v>
      </c>
      <c r="B39" s="3" t="s">
        <v>54</v>
      </c>
      <c r="C39" s="3" t="s">
        <v>113</v>
      </c>
      <c r="D39" s="3">
        <v>4411</v>
      </c>
      <c r="E39" s="3">
        <v>3271</v>
      </c>
      <c r="F39" s="3">
        <v>2601</v>
      </c>
      <c r="G39" s="3">
        <v>5081</v>
      </c>
      <c r="H39" s="3" t="s">
        <v>112</v>
      </c>
      <c r="L39">
        <f>VLOOKUP(Table3[[#This Row],[SKU_ID]],Table2[],16,0)</f>
        <v>3643.4748648658319</v>
      </c>
      <c r="M39">
        <f>VLOOKUP(Table3[[#This Row],[SKU_ID]],Table2[],18,0)</f>
        <v>949.22236595786455</v>
      </c>
      <c r="N39">
        <f>VLOOKUP(Table3[[#This Row],[SKU_ID]],Table2[],19,0)</f>
        <v>4949.8799002044398</v>
      </c>
      <c r="O39">
        <f>VLOOKUP(Table3[[#This Row],[SKU_ID]],Table2[],20,0)</f>
        <v>29.295184353257</v>
      </c>
      <c r="P39" t="str">
        <f>IF(Table3[[#This Row],[Closing_Stock]]&lt;Table7[[#This Row],[Safety Stock]],"Critical",IF(G39&lt;Table7[[#This Row],[Reorder Point]],"ReOrder","OK"))</f>
        <v>OK</v>
      </c>
    </row>
    <row r="40" spans="1:16" x14ac:dyDescent="0.25">
      <c r="A40" s="2" t="s">
        <v>53</v>
      </c>
      <c r="B40" s="2" t="s">
        <v>54</v>
      </c>
      <c r="C40" s="2" t="s">
        <v>114</v>
      </c>
      <c r="D40" s="2">
        <v>3873</v>
      </c>
      <c r="E40" s="2">
        <v>2459</v>
      </c>
      <c r="F40" s="2">
        <v>2361</v>
      </c>
      <c r="G40" s="2">
        <v>3971</v>
      </c>
      <c r="H40" s="2" t="s">
        <v>112</v>
      </c>
      <c r="L40">
        <f>VLOOKUP(Table3[[#This Row],[SKU_ID]],Table2[],16,0)</f>
        <v>3643.4748648658319</v>
      </c>
      <c r="M40">
        <f>VLOOKUP(Table3[[#This Row],[SKU_ID]],Table2[],18,0)</f>
        <v>949.22236595786455</v>
      </c>
      <c r="N40">
        <f>VLOOKUP(Table3[[#This Row],[SKU_ID]],Table2[],19,0)</f>
        <v>4949.8799002044398</v>
      </c>
      <c r="O40">
        <f>VLOOKUP(Table3[[#This Row],[SKU_ID]],Table2[],20,0)</f>
        <v>29.295184353257</v>
      </c>
      <c r="P40" t="str">
        <f>IF(Table3[[#This Row],[Closing_Stock]]&lt;Table7[[#This Row],[Safety Stock]],"Critical",IF(G40&lt;Table7[[#This Row],[Reorder Point]],"ReOrder","OK"))</f>
        <v>ReOrder</v>
      </c>
    </row>
    <row r="41" spans="1:16" x14ac:dyDescent="0.25">
      <c r="A41" s="3" t="s">
        <v>57</v>
      </c>
      <c r="B41" s="3" t="s">
        <v>58</v>
      </c>
      <c r="C41" s="3" t="s">
        <v>111</v>
      </c>
      <c r="D41" s="3">
        <v>3796</v>
      </c>
      <c r="E41" s="3">
        <v>2573</v>
      </c>
      <c r="F41" s="3">
        <v>3580</v>
      </c>
      <c r="G41" s="3">
        <v>2789</v>
      </c>
      <c r="H41" s="3" t="s">
        <v>112</v>
      </c>
      <c r="L41">
        <f>VLOOKUP(Table3[[#This Row],[SKU_ID]],Table2[],16,0)</f>
        <v>4131.8125562517962</v>
      </c>
      <c r="M41">
        <f>VLOOKUP(Table3[[#This Row],[SKU_ID]],Table2[],18,0)</f>
        <v>949.62279442661065</v>
      </c>
      <c r="N41">
        <f>VLOOKUP(Table3[[#This Row],[SKU_ID]],Table2[],19,0)</f>
        <v>4691.4036163444198</v>
      </c>
      <c r="O41">
        <f>VLOOKUP(Table3[[#This Row],[SKU_ID]],Table2[],20,0)</f>
        <v>39.14713527365916</v>
      </c>
      <c r="P41" t="str">
        <f>IF(Table3[[#This Row],[Closing_Stock]]&lt;Table7[[#This Row],[Safety Stock]],"Critical",IF(G41&lt;Table7[[#This Row],[Reorder Point]],"ReOrder","OK"))</f>
        <v>ReOrder</v>
      </c>
    </row>
    <row r="42" spans="1:16" x14ac:dyDescent="0.25">
      <c r="A42" s="2" t="s">
        <v>57</v>
      </c>
      <c r="B42" s="2" t="s">
        <v>58</v>
      </c>
      <c r="C42" s="2" t="s">
        <v>113</v>
      </c>
      <c r="D42" s="2">
        <v>4748</v>
      </c>
      <c r="E42" s="2">
        <v>3374</v>
      </c>
      <c r="F42" s="2">
        <v>3464</v>
      </c>
      <c r="G42" s="2">
        <v>4658</v>
      </c>
      <c r="H42" s="2" t="s">
        <v>112</v>
      </c>
      <c r="L42">
        <f>VLOOKUP(Table3[[#This Row],[SKU_ID]],Table2[],16,0)</f>
        <v>4131.8125562517962</v>
      </c>
      <c r="M42">
        <f>VLOOKUP(Table3[[#This Row],[SKU_ID]],Table2[],18,0)</f>
        <v>949.62279442661065</v>
      </c>
      <c r="N42">
        <f>VLOOKUP(Table3[[#This Row],[SKU_ID]],Table2[],19,0)</f>
        <v>4691.4036163444198</v>
      </c>
      <c r="O42">
        <f>VLOOKUP(Table3[[#This Row],[SKU_ID]],Table2[],20,0)</f>
        <v>39.14713527365916</v>
      </c>
      <c r="P42" t="str">
        <f>IF(Table3[[#This Row],[Closing_Stock]]&lt;Table7[[#This Row],[Safety Stock]],"Critical",IF(G42&lt;Table7[[#This Row],[Reorder Point]],"ReOrder","OK"))</f>
        <v>ReOrder</v>
      </c>
    </row>
    <row r="43" spans="1:16" x14ac:dyDescent="0.25">
      <c r="A43" s="3" t="s">
        <v>57</v>
      </c>
      <c r="B43" s="3" t="s">
        <v>58</v>
      </c>
      <c r="C43" s="3" t="s">
        <v>114</v>
      </c>
      <c r="D43" s="3">
        <v>3997</v>
      </c>
      <c r="E43" s="3">
        <v>2292</v>
      </c>
      <c r="F43" s="3">
        <v>2078</v>
      </c>
      <c r="G43" s="3">
        <v>4211</v>
      </c>
      <c r="H43" s="3" t="s">
        <v>112</v>
      </c>
      <c r="L43">
        <f>VLOOKUP(Table3[[#This Row],[SKU_ID]],Table2[],16,0)</f>
        <v>4131.8125562517962</v>
      </c>
      <c r="M43">
        <f>VLOOKUP(Table3[[#This Row],[SKU_ID]],Table2[],18,0)</f>
        <v>949.62279442661065</v>
      </c>
      <c r="N43">
        <f>VLOOKUP(Table3[[#This Row],[SKU_ID]],Table2[],19,0)</f>
        <v>4691.4036163444198</v>
      </c>
      <c r="O43">
        <f>VLOOKUP(Table3[[#This Row],[SKU_ID]],Table2[],20,0)</f>
        <v>39.14713527365916</v>
      </c>
      <c r="P43" t="str">
        <f>IF(Table3[[#This Row],[Closing_Stock]]&lt;Table7[[#This Row],[Safety Stock]],"Critical",IF(G43&lt;Table7[[#This Row],[Reorder Point]],"ReOrder","OK"))</f>
        <v>ReOrder</v>
      </c>
    </row>
    <row r="44" spans="1:16" x14ac:dyDescent="0.25">
      <c r="A44" s="2" t="s">
        <v>59</v>
      </c>
      <c r="B44" s="2" t="s">
        <v>60</v>
      </c>
      <c r="C44" s="2" t="s">
        <v>111</v>
      </c>
      <c r="D44" s="2">
        <v>723</v>
      </c>
      <c r="E44" s="2">
        <v>677</v>
      </c>
      <c r="F44" s="2">
        <v>620</v>
      </c>
      <c r="G44" s="2">
        <v>780</v>
      </c>
      <c r="H44" s="2" t="s">
        <v>112</v>
      </c>
      <c r="L44">
        <f>VLOOKUP(Table3[[#This Row],[SKU_ID]],Table2[],16,0)</f>
        <v>1328.9189745901142</v>
      </c>
      <c r="M44">
        <f>VLOOKUP(Table3[[#This Row],[SKU_ID]],Table2[],18,0)</f>
        <v>1994.9585486210824</v>
      </c>
      <c r="N44">
        <f>VLOOKUP(Table3[[#This Row],[SKU_ID]],Table2[],19,0)</f>
        <v>3580.0270417717675</v>
      </c>
      <c r="O44">
        <f>VLOOKUP(Table3[[#This Row],[SKU_ID]],Table2[],20,0)</f>
        <v>220.55009074410162</v>
      </c>
      <c r="P44" t="str">
        <f>IF(Table3[[#This Row],[Closing_Stock]]&lt;Table7[[#This Row],[Safety Stock]],"Critical",IF(G44&lt;Table7[[#This Row],[Reorder Point]],"ReOrder","OK"))</f>
        <v>Critical</v>
      </c>
    </row>
    <row r="45" spans="1:16" x14ac:dyDescent="0.25">
      <c r="A45" s="3" t="s">
        <v>59</v>
      </c>
      <c r="B45" s="3" t="s">
        <v>60</v>
      </c>
      <c r="C45" s="3" t="s">
        <v>113</v>
      </c>
      <c r="D45" s="3">
        <v>907</v>
      </c>
      <c r="E45" s="3">
        <v>653</v>
      </c>
      <c r="F45" s="3">
        <v>474</v>
      </c>
      <c r="G45" s="3">
        <v>1086</v>
      </c>
      <c r="H45" s="3" t="s">
        <v>112</v>
      </c>
      <c r="L45">
        <f>VLOOKUP(Table3[[#This Row],[SKU_ID]],Table2[],16,0)</f>
        <v>1328.9189745901142</v>
      </c>
      <c r="M45">
        <f>VLOOKUP(Table3[[#This Row],[SKU_ID]],Table2[],18,0)</f>
        <v>1994.9585486210824</v>
      </c>
      <c r="N45">
        <f>VLOOKUP(Table3[[#This Row],[SKU_ID]],Table2[],19,0)</f>
        <v>3580.0270417717675</v>
      </c>
      <c r="O45">
        <f>VLOOKUP(Table3[[#This Row],[SKU_ID]],Table2[],20,0)</f>
        <v>220.55009074410162</v>
      </c>
      <c r="P45" t="str">
        <f>IF(Table3[[#This Row],[Closing_Stock]]&lt;Table7[[#This Row],[Safety Stock]],"Critical",IF(G45&lt;Table7[[#This Row],[Reorder Point]],"ReOrder","OK"))</f>
        <v>Critical</v>
      </c>
    </row>
    <row r="46" spans="1:16" x14ac:dyDescent="0.25">
      <c r="A46" s="15" t="s">
        <v>59</v>
      </c>
      <c r="B46" s="15" t="s">
        <v>60</v>
      </c>
      <c r="C46" s="15" t="s">
        <v>114</v>
      </c>
      <c r="D46" s="15">
        <v>717</v>
      </c>
      <c r="E46" s="15">
        <v>499</v>
      </c>
      <c r="F46" s="15">
        <v>480</v>
      </c>
      <c r="G46" s="15">
        <v>736</v>
      </c>
      <c r="H46" s="15" t="s">
        <v>112</v>
      </c>
      <c r="L46">
        <f>VLOOKUP(Table3[[#This Row],[SKU_ID]],Table2[],16,0)</f>
        <v>1328.9189745901142</v>
      </c>
      <c r="M46">
        <f>VLOOKUP(Table3[[#This Row],[SKU_ID]],Table2[],18,0)</f>
        <v>1994.9585486210824</v>
      </c>
      <c r="N46">
        <f>VLOOKUP(Table3[[#This Row],[SKU_ID]],Table2[],19,0)</f>
        <v>3580.0270417717675</v>
      </c>
      <c r="O46">
        <f>VLOOKUP(Table3[[#This Row],[SKU_ID]],Table2[],20,0)</f>
        <v>220.55009074410162</v>
      </c>
      <c r="P46" t="str">
        <f>IF(Table3[[#This Row],[Closing_Stock]]&lt;Table7[[#This Row],[Safety Stock]],"Critical",IF(G46&lt;Table7[[#This Row],[Reorder Point]],"ReOrder","OK"))</f>
        <v>Critical</v>
      </c>
    </row>
  </sheetData>
  <pageMargins left="0.75" right="0.75" top="1" bottom="1" header="0.511811023622047" footer="0.511811023622047"/>
  <pageSetup paperSize="9" orientation="portrait" horizontalDpi="300" verticalDpi="300"/>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zoomScaleNormal="100" workbookViewId="0"/>
  </sheetViews>
  <sheetFormatPr defaultColWidth="8.7109375" defaultRowHeight="15" x14ac:dyDescent="0.25"/>
  <cols>
    <col min="1" max="1" width="10" customWidth="1"/>
    <col min="2" max="2" width="25" customWidth="1"/>
    <col min="3" max="3" width="22" customWidth="1"/>
    <col min="4" max="4" width="12" customWidth="1"/>
    <col min="5" max="5" width="18" customWidth="1"/>
    <col min="6" max="6" width="14" customWidth="1"/>
    <col min="7" max="7" width="13" customWidth="1"/>
    <col min="8" max="8" width="20" customWidth="1"/>
    <col min="9" max="10" width="18" customWidth="1"/>
    <col min="11" max="11" width="10" customWidth="1"/>
  </cols>
  <sheetData>
    <row r="1" spans="1:11" ht="30" customHeight="1" x14ac:dyDescent="0.25">
      <c r="A1" s="1" t="s">
        <v>115</v>
      </c>
      <c r="B1" s="1" t="s">
        <v>116</v>
      </c>
      <c r="C1" s="1" t="s">
        <v>2</v>
      </c>
      <c r="D1" s="1" t="s">
        <v>117</v>
      </c>
      <c r="E1" s="1" t="s">
        <v>118</v>
      </c>
      <c r="F1" s="1" t="s">
        <v>7</v>
      </c>
      <c r="G1" s="1" t="s">
        <v>119</v>
      </c>
      <c r="H1" s="1" t="s">
        <v>120</v>
      </c>
      <c r="I1" s="1" t="s">
        <v>121</v>
      </c>
      <c r="J1" s="1" t="s">
        <v>122</v>
      </c>
      <c r="K1" s="1" t="s">
        <v>123</v>
      </c>
    </row>
    <row r="2" spans="1:11" x14ac:dyDescent="0.25">
      <c r="A2" s="2" t="s">
        <v>124</v>
      </c>
      <c r="B2" s="2" t="s">
        <v>125</v>
      </c>
      <c r="C2" s="2" t="s">
        <v>126</v>
      </c>
      <c r="D2" s="2" t="s">
        <v>127</v>
      </c>
      <c r="E2" s="2" t="s">
        <v>128</v>
      </c>
      <c r="F2" s="2">
        <v>14</v>
      </c>
      <c r="G2" s="2" t="s">
        <v>129</v>
      </c>
      <c r="H2" s="2">
        <v>50000</v>
      </c>
      <c r="I2" s="2">
        <v>96.2</v>
      </c>
      <c r="J2" s="2">
        <v>0.8</v>
      </c>
      <c r="K2" s="2" t="s">
        <v>130</v>
      </c>
    </row>
    <row r="3" spans="1:11" x14ac:dyDescent="0.25">
      <c r="A3" s="3" t="s">
        <v>131</v>
      </c>
      <c r="B3" s="3" t="s">
        <v>132</v>
      </c>
      <c r="C3" s="3" t="s">
        <v>32</v>
      </c>
      <c r="D3" s="3" t="s">
        <v>127</v>
      </c>
      <c r="E3" s="3" t="s">
        <v>133</v>
      </c>
      <c r="F3" s="3">
        <v>21</v>
      </c>
      <c r="G3" s="3" t="s">
        <v>134</v>
      </c>
      <c r="H3" s="3">
        <v>75000</v>
      </c>
      <c r="I3" s="3">
        <v>94.5</v>
      </c>
      <c r="J3" s="3">
        <v>1.2</v>
      </c>
      <c r="K3" s="3" t="s">
        <v>130</v>
      </c>
    </row>
    <row r="4" spans="1:11" x14ac:dyDescent="0.25">
      <c r="A4" s="2" t="s">
        <v>135</v>
      </c>
      <c r="B4" s="2" t="s">
        <v>136</v>
      </c>
      <c r="C4" s="2" t="s">
        <v>137</v>
      </c>
      <c r="D4" s="2" t="s">
        <v>138</v>
      </c>
      <c r="E4" s="2" t="s">
        <v>139</v>
      </c>
      <c r="F4" s="2">
        <v>10</v>
      </c>
      <c r="G4" s="2" t="s">
        <v>129</v>
      </c>
      <c r="H4" s="2">
        <v>40000</v>
      </c>
      <c r="I4" s="2">
        <v>97.1</v>
      </c>
      <c r="J4" s="2">
        <v>0.5</v>
      </c>
      <c r="K4" s="2" t="s">
        <v>130</v>
      </c>
    </row>
    <row r="5" spans="1:11" x14ac:dyDescent="0.25">
      <c r="A5" s="3" t="s">
        <v>140</v>
      </c>
      <c r="B5" s="3" t="s">
        <v>141</v>
      </c>
      <c r="C5" s="3" t="s">
        <v>32</v>
      </c>
      <c r="D5" s="3" t="s">
        <v>127</v>
      </c>
      <c r="E5" s="3" t="s">
        <v>142</v>
      </c>
      <c r="F5" s="3">
        <v>7</v>
      </c>
      <c r="G5" s="3" t="s">
        <v>129</v>
      </c>
      <c r="H5" s="3">
        <v>30000</v>
      </c>
      <c r="I5" s="3">
        <v>95.8</v>
      </c>
      <c r="J5" s="3">
        <v>0.9</v>
      </c>
      <c r="K5" s="3" t="s">
        <v>130</v>
      </c>
    </row>
    <row r="6" spans="1:11" x14ac:dyDescent="0.25">
      <c r="A6" s="2" t="s">
        <v>143</v>
      </c>
      <c r="B6" s="2" t="s">
        <v>144</v>
      </c>
      <c r="C6" s="2" t="s">
        <v>145</v>
      </c>
      <c r="D6" s="2" t="s">
        <v>127</v>
      </c>
      <c r="E6" s="2" t="s">
        <v>146</v>
      </c>
      <c r="F6" s="2">
        <v>14</v>
      </c>
      <c r="G6" s="2" t="s">
        <v>134</v>
      </c>
      <c r="H6" s="2">
        <v>35000</v>
      </c>
      <c r="I6" s="2">
        <v>93.2</v>
      </c>
      <c r="J6" s="2">
        <v>1.5</v>
      </c>
      <c r="K6" s="2" t="s">
        <v>147</v>
      </c>
    </row>
    <row r="7" spans="1:11" x14ac:dyDescent="0.25">
      <c r="A7" s="3" t="s">
        <v>148</v>
      </c>
      <c r="B7" s="3" t="s">
        <v>149</v>
      </c>
      <c r="C7" s="3" t="s">
        <v>150</v>
      </c>
      <c r="D7" s="3" t="s">
        <v>151</v>
      </c>
      <c r="E7" s="3" t="s">
        <v>152</v>
      </c>
      <c r="F7" s="3">
        <v>10</v>
      </c>
      <c r="G7" s="3" t="s">
        <v>129</v>
      </c>
      <c r="H7" s="3">
        <v>25000</v>
      </c>
      <c r="I7" s="3">
        <v>96.7</v>
      </c>
      <c r="J7" s="3">
        <v>0.6</v>
      </c>
      <c r="K7" s="3" t="s">
        <v>130</v>
      </c>
    </row>
    <row r="8" spans="1:11" x14ac:dyDescent="0.25">
      <c r="A8" s="2" t="s">
        <v>153</v>
      </c>
      <c r="B8" s="2" t="s">
        <v>154</v>
      </c>
      <c r="C8" s="2" t="s">
        <v>43</v>
      </c>
      <c r="D8" s="2" t="s">
        <v>155</v>
      </c>
      <c r="E8" s="2" t="s">
        <v>156</v>
      </c>
      <c r="F8" s="2">
        <v>14</v>
      </c>
      <c r="G8" s="2" t="s">
        <v>134</v>
      </c>
      <c r="H8" s="2">
        <v>20000</v>
      </c>
      <c r="I8" s="2">
        <v>91.5</v>
      </c>
      <c r="J8" s="2">
        <v>2.1</v>
      </c>
      <c r="K8" s="2" t="s">
        <v>147</v>
      </c>
    </row>
    <row r="9" spans="1:11" x14ac:dyDescent="0.25">
      <c r="A9" s="3" t="s">
        <v>157</v>
      </c>
      <c r="B9" s="3" t="s">
        <v>158</v>
      </c>
      <c r="C9" s="3" t="s">
        <v>61</v>
      </c>
      <c r="D9" s="3" t="s">
        <v>155</v>
      </c>
      <c r="E9" s="3" t="s">
        <v>159</v>
      </c>
      <c r="F9" s="3">
        <v>21</v>
      </c>
      <c r="G9" s="3" t="s">
        <v>160</v>
      </c>
      <c r="H9" s="3">
        <v>60000</v>
      </c>
      <c r="I9" s="3">
        <v>94</v>
      </c>
      <c r="J9" s="3">
        <v>1</v>
      </c>
      <c r="K9" s="3" t="s">
        <v>130</v>
      </c>
    </row>
    <row r="10" spans="1:11" x14ac:dyDescent="0.25">
      <c r="A10" s="2" t="s">
        <v>161</v>
      </c>
      <c r="B10" s="2" t="s">
        <v>162</v>
      </c>
      <c r="C10" s="2" t="s">
        <v>61</v>
      </c>
      <c r="D10" s="2" t="s">
        <v>163</v>
      </c>
      <c r="E10" s="2" t="s">
        <v>164</v>
      </c>
      <c r="F10" s="2">
        <v>21</v>
      </c>
      <c r="G10" s="2" t="s">
        <v>134</v>
      </c>
      <c r="H10" s="2">
        <v>80000</v>
      </c>
      <c r="I10" s="2">
        <v>95.5</v>
      </c>
      <c r="J10" s="2">
        <v>0.7</v>
      </c>
      <c r="K10" s="2" t="s">
        <v>130</v>
      </c>
    </row>
    <row r="11" spans="1:11" x14ac:dyDescent="0.25">
      <c r="A11" s="3" t="s">
        <v>165</v>
      </c>
      <c r="B11" s="3" t="s">
        <v>166</v>
      </c>
      <c r="C11" s="3" t="s">
        <v>167</v>
      </c>
      <c r="D11" s="3" t="s">
        <v>168</v>
      </c>
      <c r="E11" s="3" t="s">
        <v>169</v>
      </c>
      <c r="F11" s="3">
        <v>14</v>
      </c>
      <c r="G11" s="3" t="s">
        <v>129</v>
      </c>
      <c r="H11" s="3">
        <v>45000</v>
      </c>
      <c r="I11" s="3">
        <v>92.8</v>
      </c>
      <c r="J11" s="3">
        <v>1.8</v>
      </c>
      <c r="K11" s="3" t="s">
        <v>147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1"/>
  <sheetViews>
    <sheetView topLeftCell="A18" zoomScaleNormal="100" workbookViewId="0"/>
  </sheetViews>
  <sheetFormatPr defaultColWidth="8.7109375" defaultRowHeight="15" x14ac:dyDescent="0.25"/>
  <cols>
    <col min="1" max="1" width="15" customWidth="1"/>
    <col min="2" max="2" width="8" customWidth="1"/>
    <col min="3" max="3" width="22" customWidth="1"/>
    <col min="4" max="4" width="8" customWidth="1"/>
    <col min="5" max="5" width="22" customWidth="1"/>
    <col min="6" max="6" width="13" customWidth="1"/>
    <col min="7" max="7" width="16" customWidth="1"/>
    <col min="8" max="8" width="15" customWidth="1"/>
    <col min="9" max="10" width="12" customWidth="1"/>
    <col min="11" max="11" width="14" customWidth="1"/>
    <col min="12" max="12" width="15" customWidth="1"/>
    <col min="13" max="14" width="12" customWidth="1"/>
  </cols>
  <sheetData>
    <row r="1" spans="1:14" ht="30" customHeight="1" x14ac:dyDescent="0.25">
      <c r="A1" s="1" t="s">
        <v>170</v>
      </c>
      <c r="B1" s="1" t="s">
        <v>0</v>
      </c>
      <c r="C1" s="1" t="s">
        <v>1</v>
      </c>
      <c r="D1" s="1" t="s">
        <v>115</v>
      </c>
      <c r="E1" s="1" t="s">
        <v>116</v>
      </c>
      <c r="F1" s="1" t="s">
        <v>171</v>
      </c>
      <c r="G1" s="1" t="s">
        <v>172</v>
      </c>
      <c r="H1" s="1" t="s">
        <v>173</v>
      </c>
      <c r="I1" s="1" t="s">
        <v>174</v>
      </c>
      <c r="J1" s="1" t="s">
        <v>175</v>
      </c>
      <c r="K1" s="1" t="s">
        <v>5</v>
      </c>
      <c r="L1" s="1" t="s">
        <v>176</v>
      </c>
      <c r="M1" s="1" t="s">
        <v>11</v>
      </c>
      <c r="N1" s="1" t="s">
        <v>177</v>
      </c>
    </row>
    <row r="2" spans="1:14" x14ac:dyDescent="0.25">
      <c r="A2" s="2" t="s">
        <v>178</v>
      </c>
      <c r="B2" s="2" t="s">
        <v>12</v>
      </c>
      <c r="C2" s="2" t="s">
        <v>13</v>
      </c>
      <c r="D2" s="2" t="s">
        <v>124</v>
      </c>
      <c r="E2" s="2" t="s">
        <v>125</v>
      </c>
      <c r="F2" s="2" t="s">
        <v>179</v>
      </c>
      <c r="G2" s="2" t="s">
        <v>180</v>
      </c>
      <c r="H2" s="2" t="s">
        <v>181</v>
      </c>
      <c r="I2" s="2">
        <v>3161</v>
      </c>
      <c r="J2" s="2">
        <v>0</v>
      </c>
      <c r="K2" s="2">
        <v>85</v>
      </c>
      <c r="L2" s="2">
        <v>268685</v>
      </c>
      <c r="M2" s="2" t="s">
        <v>182</v>
      </c>
      <c r="N2" s="2" t="s">
        <v>181</v>
      </c>
    </row>
    <row r="3" spans="1:14" x14ac:dyDescent="0.25">
      <c r="A3" s="3" t="s">
        <v>183</v>
      </c>
      <c r="B3" s="3" t="s">
        <v>12</v>
      </c>
      <c r="C3" s="3" t="s">
        <v>13</v>
      </c>
      <c r="D3" s="3" t="s">
        <v>124</v>
      </c>
      <c r="E3" s="3" t="s">
        <v>125</v>
      </c>
      <c r="F3" s="3" t="s">
        <v>184</v>
      </c>
      <c r="G3" s="3" t="s">
        <v>185</v>
      </c>
      <c r="H3" s="3" t="s">
        <v>181</v>
      </c>
      <c r="I3" s="3">
        <v>2310</v>
      </c>
      <c r="J3" s="3">
        <v>0</v>
      </c>
      <c r="K3" s="3">
        <v>85</v>
      </c>
      <c r="L3" s="3">
        <v>196350</v>
      </c>
      <c r="M3" s="3" t="s">
        <v>186</v>
      </c>
      <c r="N3" s="3" t="s">
        <v>181</v>
      </c>
    </row>
    <row r="4" spans="1:14" x14ac:dyDescent="0.25">
      <c r="A4" s="2" t="s">
        <v>187</v>
      </c>
      <c r="B4" s="2" t="s">
        <v>12</v>
      </c>
      <c r="C4" s="2" t="s">
        <v>13</v>
      </c>
      <c r="D4" s="2" t="s">
        <v>124</v>
      </c>
      <c r="E4" s="2" t="s">
        <v>125</v>
      </c>
      <c r="F4" s="2" t="s">
        <v>188</v>
      </c>
      <c r="G4" s="2" t="s">
        <v>189</v>
      </c>
      <c r="H4" s="2" t="s">
        <v>181</v>
      </c>
      <c r="I4" s="2">
        <v>2773</v>
      </c>
      <c r="J4" s="2">
        <v>0</v>
      </c>
      <c r="K4" s="2">
        <v>85</v>
      </c>
      <c r="L4" s="2">
        <v>235705</v>
      </c>
      <c r="M4" s="2" t="s">
        <v>186</v>
      </c>
      <c r="N4" s="2" t="s">
        <v>181</v>
      </c>
    </row>
    <row r="5" spans="1:14" x14ac:dyDescent="0.25">
      <c r="A5" s="3" t="s">
        <v>190</v>
      </c>
      <c r="B5" s="3" t="s">
        <v>12</v>
      </c>
      <c r="C5" s="3" t="s">
        <v>13</v>
      </c>
      <c r="D5" s="3" t="s">
        <v>124</v>
      </c>
      <c r="E5" s="3" t="s">
        <v>125</v>
      </c>
      <c r="F5" s="3" t="s">
        <v>191</v>
      </c>
      <c r="G5" s="3" t="s">
        <v>192</v>
      </c>
      <c r="H5" s="3" t="s">
        <v>192</v>
      </c>
      <c r="I5" s="3">
        <v>2438</v>
      </c>
      <c r="J5" s="3">
        <v>2438</v>
      </c>
      <c r="K5" s="3">
        <v>85</v>
      </c>
      <c r="L5" s="3">
        <v>207230</v>
      </c>
      <c r="M5" s="3" t="s">
        <v>193</v>
      </c>
      <c r="N5" s="3" t="s">
        <v>194</v>
      </c>
    </row>
    <row r="6" spans="1:14" x14ac:dyDescent="0.25">
      <c r="A6" s="2" t="s">
        <v>195</v>
      </c>
      <c r="B6" s="2" t="s">
        <v>20</v>
      </c>
      <c r="C6" s="2" t="s">
        <v>21</v>
      </c>
      <c r="D6" s="2" t="s">
        <v>124</v>
      </c>
      <c r="E6" s="2" t="s">
        <v>125</v>
      </c>
      <c r="F6" s="2" t="s">
        <v>196</v>
      </c>
      <c r="G6" s="2" t="s">
        <v>197</v>
      </c>
      <c r="H6" s="2" t="s">
        <v>198</v>
      </c>
      <c r="I6" s="2">
        <v>3586</v>
      </c>
      <c r="J6" s="2">
        <v>3586</v>
      </c>
      <c r="K6" s="2">
        <v>45</v>
      </c>
      <c r="L6" s="2">
        <v>161370</v>
      </c>
      <c r="M6" s="2" t="s">
        <v>193</v>
      </c>
      <c r="N6" s="2" t="s">
        <v>194</v>
      </c>
    </row>
    <row r="7" spans="1:14" x14ac:dyDescent="0.25">
      <c r="A7" s="3" t="s">
        <v>199</v>
      </c>
      <c r="B7" s="3" t="s">
        <v>20</v>
      </c>
      <c r="C7" s="3" t="s">
        <v>21</v>
      </c>
      <c r="D7" s="3" t="s">
        <v>124</v>
      </c>
      <c r="E7" s="3" t="s">
        <v>125</v>
      </c>
      <c r="F7" s="3" t="s">
        <v>200</v>
      </c>
      <c r="G7" s="3" t="s">
        <v>201</v>
      </c>
      <c r="H7" s="3" t="s">
        <v>202</v>
      </c>
      <c r="I7" s="3">
        <v>3182</v>
      </c>
      <c r="J7" s="3">
        <v>3182</v>
      </c>
      <c r="K7" s="3">
        <v>45</v>
      </c>
      <c r="L7" s="3">
        <v>143190</v>
      </c>
      <c r="M7" s="3" t="s">
        <v>193</v>
      </c>
      <c r="N7" s="3" t="s">
        <v>203</v>
      </c>
    </row>
    <row r="8" spans="1:14" x14ac:dyDescent="0.25">
      <c r="A8" s="2" t="s">
        <v>204</v>
      </c>
      <c r="B8" s="2" t="s">
        <v>20</v>
      </c>
      <c r="C8" s="2" t="s">
        <v>21</v>
      </c>
      <c r="D8" s="2" t="s">
        <v>124</v>
      </c>
      <c r="E8" s="2" t="s">
        <v>125</v>
      </c>
      <c r="F8" s="2" t="s">
        <v>205</v>
      </c>
      <c r="G8" s="2" t="s">
        <v>206</v>
      </c>
      <c r="H8" s="2" t="s">
        <v>207</v>
      </c>
      <c r="I8" s="2">
        <v>4207</v>
      </c>
      <c r="J8" s="2">
        <v>4207</v>
      </c>
      <c r="K8" s="2">
        <v>45</v>
      </c>
      <c r="L8" s="2">
        <v>189315</v>
      </c>
      <c r="M8" s="2" t="s">
        <v>193</v>
      </c>
      <c r="N8" s="2" t="s">
        <v>194</v>
      </c>
    </row>
    <row r="9" spans="1:14" x14ac:dyDescent="0.25">
      <c r="A9" s="3" t="s">
        <v>208</v>
      </c>
      <c r="B9" s="3" t="s">
        <v>20</v>
      </c>
      <c r="C9" s="3" t="s">
        <v>21</v>
      </c>
      <c r="D9" s="3" t="s">
        <v>124</v>
      </c>
      <c r="E9" s="3" t="s">
        <v>125</v>
      </c>
      <c r="F9" s="3" t="s">
        <v>209</v>
      </c>
      <c r="G9" s="3" t="s">
        <v>210</v>
      </c>
      <c r="H9" s="3" t="s">
        <v>211</v>
      </c>
      <c r="I9" s="3">
        <v>4636</v>
      </c>
      <c r="J9" s="3">
        <v>4636</v>
      </c>
      <c r="K9" s="3">
        <v>45</v>
      </c>
      <c r="L9" s="3">
        <v>208620</v>
      </c>
      <c r="M9" s="3" t="s">
        <v>193</v>
      </c>
      <c r="N9" s="3" t="s">
        <v>203</v>
      </c>
    </row>
    <row r="10" spans="1:14" x14ac:dyDescent="0.25">
      <c r="A10" s="2" t="s">
        <v>212</v>
      </c>
      <c r="B10" s="2" t="s">
        <v>22</v>
      </c>
      <c r="C10" s="2" t="s">
        <v>23</v>
      </c>
      <c r="D10" s="2" t="s">
        <v>135</v>
      </c>
      <c r="E10" s="2" t="s">
        <v>136</v>
      </c>
      <c r="F10" s="2" t="s">
        <v>206</v>
      </c>
      <c r="G10" s="2" t="s">
        <v>213</v>
      </c>
      <c r="H10" s="2" t="s">
        <v>214</v>
      </c>
      <c r="I10" s="2">
        <v>4396</v>
      </c>
      <c r="J10" s="2">
        <v>4396</v>
      </c>
      <c r="K10" s="2">
        <v>18</v>
      </c>
      <c r="L10" s="2">
        <v>79128</v>
      </c>
      <c r="M10" s="2" t="s">
        <v>193</v>
      </c>
      <c r="N10" s="2" t="s">
        <v>203</v>
      </c>
    </row>
    <row r="11" spans="1:14" x14ac:dyDescent="0.25">
      <c r="A11" s="3" t="s">
        <v>215</v>
      </c>
      <c r="B11" s="3" t="s">
        <v>22</v>
      </c>
      <c r="C11" s="3" t="s">
        <v>23</v>
      </c>
      <c r="D11" s="3" t="s">
        <v>135</v>
      </c>
      <c r="E11" s="3" t="s">
        <v>136</v>
      </c>
      <c r="F11" s="3" t="s">
        <v>216</v>
      </c>
      <c r="G11" s="3" t="s">
        <v>217</v>
      </c>
      <c r="H11" s="3" t="s">
        <v>201</v>
      </c>
      <c r="I11" s="3">
        <v>7502</v>
      </c>
      <c r="J11" s="3">
        <v>7502</v>
      </c>
      <c r="K11" s="3">
        <v>18</v>
      </c>
      <c r="L11" s="3">
        <v>135036</v>
      </c>
      <c r="M11" s="3" t="s">
        <v>193</v>
      </c>
      <c r="N11" s="3" t="s">
        <v>203</v>
      </c>
    </row>
    <row r="12" spans="1:14" x14ac:dyDescent="0.25">
      <c r="A12" s="2" t="s">
        <v>218</v>
      </c>
      <c r="B12" s="2" t="s">
        <v>22</v>
      </c>
      <c r="C12" s="2" t="s">
        <v>23</v>
      </c>
      <c r="D12" s="2" t="s">
        <v>135</v>
      </c>
      <c r="E12" s="2" t="s">
        <v>136</v>
      </c>
      <c r="F12" s="2" t="s">
        <v>219</v>
      </c>
      <c r="G12" s="2" t="s">
        <v>220</v>
      </c>
      <c r="H12" s="2" t="s">
        <v>181</v>
      </c>
      <c r="I12" s="2">
        <v>6543</v>
      </c>
      <c r="J12" s="2">
        <v>0</v>
      </c>
      <c r="K12" s="2">
        <v>18</v>
      </c>
      <c r="L12" s="2">
        <v>117774</v>
      </c>
      <c r="M12" s="2" t="s">
        <v>186</v>
      </c>
      <c r="N12" s="2" t="s">
        <v>181</v>
      </c>
    </row>
    <row r="13" spans="1:14" x14ac:dyDescent="0.25">
      <c r="A13" s="3" t="s">
        <v>221</v>
      </c>
      <c r="B13" s="3" t="s">
        <v>22</v>
      </c>
      <c r="C13" s="3" t="s">
        <v>23</v>
      </c>
      <c r="D13" s="3" t="s">
        <v>135</v>
      </c>
      <c r="E13" s="3" t="s">
        <v>136</v>
      </c>
      <c r="F13" s="3" t="s">
        <v>222</v>
      </c>
      <c r="G13" s="3" t="s">
        <v>223</v>
      </c>
      <c r="H13" s="3" t="s">
        <v>224</v>
      </c>
      <c r="I13" s="3">
        <v>4930</v>
      </c>
      <c r="J13" s="3">
        <v>4930</v>
      </c>
      <c r="K13" s="3">
        <v>18</v>
      </c>
      <c r="L13" s="3">
        <v>88740</v>
      </c>
      <c r="M13" s="3" t="s">
        <v>193</v>
      </c>
      <c r="N13" s="3" t="s">
        <v>203</v>
      </c>
    </row>
    <row r="14" spans="1:14" x14ac:dyDescent="0.25">
      <c r="A14" s="2" t="s">
        <v>225</v>
      </c>
      <c r="B14" s="2" t="s">
        <v>27</v>
      </c>
      <c r="C14" s="2" t="s">
        <v>28</v>
      </c>
      <c r="D14" s="2" t="s">
        <v>135</v>
      </c>
      <c r="E14" s="2" t="s">
        <v>136</v>
      </c>
      <c r="F14" s="2" t="s">
        <v>226</v>
      </c>
      <c r="G14" s="2" t="s">
        <v>227</v>
      </c>
      <c r="H14" s="2" t="s">
        <v>211</v>
      </c>
      <c r="I14" s="2">
        <v>2011</v>
      </c>
      <c r="J14" s="2">
        <v>2011</v>
      </c>
      <c r="K14" s="2">
        <v>55</v>
      </c>
      <c r="L14" s="2">
        <v>110605</v>
      </c>
      <c r="M14" s="2" t="s">
        <v>193</v>
      </c>
      <c r="N14" s="2" t="s">
        <v>203</v>
      </c>
    </row>
    <row r="15" spans="1:14" x14ac:dyDescent="0.25">
      <c r="A15" s="3" t="s">
        <v>228</v>
      </c>
      <c r="B15" s="3" t="s">
        <v>27</v>
      </c>
      <c r="C15" s="3" t="s">
        <v>28</v>
      </c>
      <c r="D15" s="3" t="s">
        <v>135</v>
      </c>
      <c r="E15" s="3" t="s">
        <v>136</v>
      </c>
      <c r="F15" s="3" t="s">
        <v>229</v>
      </c>
      <c r="G15" s="3" t="s">
        <v>230</v>
      </c>
      <c r="H15" s="3" t="s">
        <v>231</v>
      </c>
      <c r="I15" s="3">
        <v>1741</v>
      </c>
      <c r="J15" s="3">
        <v>1741</v>
      </c>
      <c r="K15" s="3">
        <v>55</v>
      </c>
      <c r="L15" s="3">
        <v>95755</v>
      </c>
      <c r="M15" s="3" t="s">
        <v>193</v>
      </c>
      <c r="N15" s="3" t="s">
        <v>194</v>
      </c>
    </row>
    <row r="16" spans="1:14" x14ac:dyDescent="0.25">
      <c r="A16" s="2" t="s">
        <v>232</v>
      </c>
      <c r="B16" s="2" t="s">
        <v>27</v>
      </c>
      <c r="C16" s="2" t="s">
        <v>28</v>
      </c>
      <c r="D16" s="2" t="s">
        <v>135</v>
      </c>
      <c r="E16" s="2" t="s">
        <v>136</v>
      </c>
      <c r="F16" s="2" t="s">
        <v>207</v>
      </c>
      <c r="G16" s="2" t="s">
        <v>233</v>
      </c>
      <c r="H16" s="2" t="s">
        <v>229</v>
      </c>
      <c r="I16" s="2">
        <v>2334</v>
      </c>
      <c r="J16" s="2">
        <v>2334</v>
      </c>
      <c r="K16" s="2">
        <v>55</v>
      </c>
      <c r="L16" s="2">
        <v>128370</v>
      </c>
      <c r="M16" s="2" t="s">
        <v>193</v>
      </c>
      <c r="N16" s="2" t="s">
        <v>203</v>
      </c>
    </row>
    <row r="17" spans="1:14" x14ac:dyDescent="0.25">
      <c r="A17" s="3" t="s">
        <v>234</v>
      </c>
      <c r="B17" s="3" t="s">
        <v>27</v>
      </c>
      <c r="C17" s="3" t="s">
        <v>28</v>
      </c>
      <c r="D17" s="3" t="s">
        <v>135</v>
      </c>
      <c r="E17" s="3" t="s">
        <v>136</v>
      </c>
      <c r="F17" s="3" t="s">
        <v>235</v>
      </c>
      <c r="G17" s="3" t="s">
        <v>236</v>
      </c>
      <c r="H17" s="3" t="s">
        <v>181</v>
      </c>
      <c r="I17" s="3">
        <v>1894</v>
      </c>
      <c r="J17" s="3">
        <v>0</v>
      </c>
      <c r="K17" s="3">
        <v>55</v>
      </c>
      <c r="L17" s="3">
        <v>104170</v>
      </c>
      <c r="M17" s="3" t="s">
        <v>186</v>
      </c>
      <c r="N17" s="3" t="s">
        <v>181</v>
      </c>
    </row>
    <row r="18" spans="1:14" x14ac:dyDescent="0.25">
      <c r="A18" s="2" t="s">
        <v>237</v>
      </c>
      <c r="B18" s="2" t="s">
        <v>30</v>
      </c>
      <c r="C18" s="2" t="s">
        <v>31</v>
      </c>
      <c r="D18" s="2" t="s">
        <v>124</v>
      </c>
      <c r="E18" s="2" t="s">
        <v>125</v>
      </c>
      <c r="F18" s="2" t="s">
        <v>226</v>
      </c>
      <c r="G18" s="2" t="s">
        <v>227</v>
      </c>
      <c r="H18" s="2" t="s">
        <v>217</v>
      </c>
      <c r="I18" s="2">
        <v>5619</v>
      </c>
      <c r="J18" s="2">
        <v>5619</v>
      </c>
      <c r="K18" s="2">
        <v>22</v>
      </c>
      <c r="L18" s="2">
        <v>123618</v>
      </c>
      <c r="M18" s="2" t="s">
        <v>193</v>
      </c>
      <c r="N18" s="2" t="s">
        <v>203</v>
      </c>
    </row>
    <row r="19" spans="1:14" x14ac:dyDescent="0.25">
      <c r="A19" s="3" t="s">
        <v>238</v>
      </c>
      <c r="B19" s="3" t="s">
        <v>30</v>
      </c>
      <c r="C19" s="3" t="s">
        <v>31</v>
      </c>
      <c r="D19" s="3" t="s">
        <v>124</v>
      </c>
      <c r="E19" s="3" t="s">
        <v>125</v>
      </c>
      <c r="F19" s="3" t="s">
        <v>239</v>
      </c>
      <c r="G19" s="3" t="s">
        <v>240</v>
      </c>
      <c r="H19" s="3" t="s">
        <v>241</v>
      </c>
      <c r="I19" s="3">
        <v>8850</v>
      </c>
      <c r="J19" s="3">
        <v>8850</v>
      </c>
      <c r="K19" s="3">
        <v>22</v>
      </c>
      <c r="L19" s="3">
        <v>194700</v>
      </c>
      <c r="M19" s="3" t="s">
        <v>193</v>
      </c>
      <c r="N19" s="3" t="s">
        <v>203</v>
      </c>
    </row>
    <row r="20" spans="1:14" x14ac:dyDescent="0.25">
      <c r="A20" s="2" t="s">
        <v>242</v>
      </c>
      <c r="B20" s="2" t="s">
        <v>30</v>
      </c>
      <c r="C20" s="2" t="s">
        <v>31</v>
      </c>
      <c r="D20" s="2" t="s">
        <v>124</v>
      </c>
      <c r="E20" s="2" t="s">
        <v>125</v>
      </c>
      <c r="F20" s="2" t="s">
        <v>243</v>
      </c>
      <c r="G20" s="2" t="s">
        <v>244</v>
      </c>
      <c r="H20" s="2" t="s">
        <v>181</v>
      </c>
      <c r="I20" s="2">
        <v>7060</v>
      </c>
      <c r="J20" s="2">
        <v>0</v>
      </c>
      <c r="K20" s="2">
        <v>22</v>
      </c>
      <c r="L20" s="2">
        <v>155320</v>
      </c>
      <c r="M20" s="2" t="s">
        <v>182</v>
      </c>
      <c r="N20" s="2" t="s">
        <v>181</v>
      </c>
    </row>
    <row r="21" spans="1:14" x14ac:dyDescent="0.25">
      <c r="A21" s="3" t="s">
        <v>245</v>
      </c>
      <c r="B21" s="3" t="s">
        <v>30</v>
      </c>
      <c r="C21" s="3" t="s">
        <v>31</v>
      </c>
      <c r="D21" s="3" t="s">
        <v>124</v>
      </c>
      <c r="E21" s="3" t="s">
        <v>125</v>
      </c>
      <c r="F21" s="3" t="s">
        <v>246</v>
      </c>
      <c r="G21" s="3" t="s">
        <v>247</v>
      </c>
      <c r="H21" s="3" t="s">
        <v>248</v>
      </c>
      <c r="I21" s="3">
        <v>7880</v>
      </c>
      <c r="J21" s="3">
        <v>7880</v>
      </c>
      <c r="K21" s="3">
        <v>22</v>
      </c>
      <c r="L21" s="3">
        <v>173360</v>
      </c>
      <c r="M21" s="3" t="s">
        <v>193</v>
      </c>
      <c r="N21" s="3" t="s">
        <v>194</v>
      </c>
    </row>
    <row r="22" spans="1:14" x14ac:dyDescent="0.25">
      <c r="A22" s="2" t="s">
        <v>249</v>
      </c>
      <c r="B22" s="2" t="s">
        <v>34</v>
      </c>
      <c r="C22" s="2" t="s">
        <v>35</v>
      </c>
      <c r="D22" s="2" t="s">
        <v>140</v>
      </c>
      <c r="E22" s="2" t="s">
        <v>141</v>
      </c>
      <c r="F22" s="2" t="s">
        <v>250</v>
      </c>
      <c r="G22" s="2" t="s">
        <v>251</v>
      </c>
      <c r="H22" s="2" t="s">
        <v>252</v>
      </c>
      <c r="I22" s="2">
        <v>8296</v>
      </c>
      <c r="J22" s="2">
        <v>8296</v>
      </c>
      <c r="K22" s="2">
        <v>25</v>
      </c>
      <c r="L22" s="2">
        <v>207400</v>
      </c>
      <c r="M22" s="2" t="s">
        <v>193</v>
      </c>
      <c r="N22" s="2" t="s">
        <v>203</v>
      </c>
    </row>
    <row r="23" spans="1:14" x14ac:dyDescent="0.25">
      <c r="A23" s="3" t="s">
        <v>253</v>
      </c>
      <c r="B23" s="3" t="s">
        <v>34</v>
      </c>
      <c r="C23" s="3" t="s">
        <v>35</v>
      </c>
      <c r="D23" s="3" t="s">
        <v>140</v>
      </c>
      <c r="E23" s="3" t="s">
        <v>141</v>
      </c>
      <c r="F23" s="3" t="s">
        <v>254</v>
      </c>
      <c r="G23" s="3" t="s">
        <v>255</v>
      </c>
      <c r="H23" s="3" t="s">
        <v>251</v>
      </c>
      <c r="I23" s="3">
        <v>4596</v>
      </c>
      <c r="J23" s="3">
        <v>4596</v>
      </c>
      <c r="K23" s="3">
        <v>25</v>
      </c>
      <c r="L23" s="3">
        <v>114900</v>
      </c>
      <c r="M23" s="3" t="s">
        <v>193</v>
      </c>
      <c r="N23" s="3" t="s">
        <v>203</v>
      </c>
    </row>
    <row r="24" spans="1:14" x14ac:dyDescent="0.25">
      <c r="A24" s="2" t="s">
        <v>256</v>
      </c>
      <c r="B24" s="2" t="s">
        <v>34</v>
      </c>
      <c r="C24" s="2" t="s">
        <v>35</v>
      </c>
      <c r="D24" s="2" t="s">
        <v>140</v>
      </c>
      <c r="E24" s="2" t="s">
        <v>141</v>
      </c>
      <c r="F24" s="2" t="s">
        <v>257</v>
      </c>
      <c r="G24" s="2" t="s">
        <v>258</v>
      </c>
      <c r="H24" s="2" t="s">
        <v>181</v>
      </c>
      <c r="I24" s="2">
        <v>5558</v>
      </c>
      <c r="J24" s="2">
        <v>0</v>
      </c>
      <c r="K24" s="2">
        <v>25</v>
      </c>
      <c r="L24" s="2">
        <v>138950</v>
      </c>
      <c r="M24" s="2" t="s">
        <v>182</v>
      </c>
      <c r="N24" s="2" t="s">
        <v>181</v>
      </c>
    </row>
    <row r="25" spans="1:14" x14ac:dyDescent="0.25">
      <c r="A25" s="3" t="s">
        <v>259</v>
      </c>
      <c r="B25" s="3" t="s">
        <v>34</v>
      </c>
      <c r="C25" s="3" t="s">
        <v>35</v>
      </c>
      <c r="D25" s="3" t="s">
        <v>140</v>
      </c>
      <c r="E25" s="3" t="s">
        <v>141</v>
      </c>
      <c r="F25" s="3" t="s">
        <v>260</v>
      </c>
      <c r="G25" s="3" t="s">
        <v>261</v>
      </c>
      <c r="H25" s="3" t="s">
        <v>181</v>
      </c>
      <c r="I25" s="3">
        <v>4671</v>
      </c>
      <c r="J25" s="3">
        <v>0</v>
      </c>
      <c r="K25" s="3">
        <v>25</v>
      </c>
      <c r="L25" s="3">
        <v>116775</v>
      </c>
      <c r="M25" s="3" t="s">
        <v>186</v>
      </c>
      <c r="N25" s="3" t="s">
        <v>181</v>
      </c>
    </row>
    <row r="26" spans="1:14" x14ac:dyDescent="0.25">
      <c r="A26" s="2" t="s">
        <v>262</v>
      </c>
      <c r="B26" s="2" t="s">
        <v>36</v>
      </c>
      <c r="C26" s="2" t="s">
        <v>37</v>
      </c>
      <c r="D26" s="2" t="s">
        <v>131</v>
      </c>
      <c r="E26" s="2" t="s">
        <v>132</v>
      </c>
      <c r="F26" s="2" t="s">
        <v>263</v>
      </c>
      <c r="G26" s="2" t="s">
        <v>264</v>
      </c>
      <c r="H26" s="2" t="s">
        <v>265</v>
      </c>
      <c r="I26" s="2">
        <v>1201</v>
      </c>
      <c r="J26" s="2">
        <v>1201</v>
      </c>
      <c r="K26" s="2">
        <v>120</v>
      </c>
      <c r="L26" s="2">
        <v>144120</v>
      </c>
      <c r="M26" s="2" t="s">
        <v>193</v>
      </c>
      <c r="N26" s="2" t="s">
        <v>194</v>
      </c>
    </row>
    <row r="27" spans="1:14" x14ac:dyDescent="0.25">
      <c r="A27" s="3" t="s">
        <v>266</v>
      </c>
      <c r="B27" s="3" t="s">
        <v>36</v>
      </c>
      <c r="C27" s="3" t="s">
        <v>37</v>
      </c>
      <c r="D27" s="3" t="s">
        <v>131</v>
      </c>
      <c r="E27" s="3" t="s">
        <v>132</v>
      </c>
      <c r="F27" s="3" t="s">
        <v>222</v>
      </c>
      <c r="G27" s="3" t="s">
        <v>223</v>
      </c>
      <c r="H27" s="3" t="s">
        <v>181</v>
      </c>
      <c r="I27" s="3">
        <v>1418</v>
      </c>
      <c r="J27" s="3">
        <v>0</v>
      </c>
      <c r="K27" s="3">
        <v>120</v>
      </c>
      <c r="L27" s="3">
        <v>170160</v>
      </c>
      <c r="M27" s="3" t="s">
        <v>182</v>
      </c>
      <c r="N27" s="3" t="s">
        <v>181</v>
      </c>
    </row>
    <row r="28" spans="1:14" x14ac:dyDescent="0.25">
      <c r="A28" s="2" t="s">
        <v>267</v>
      </c>
      <c r="B28" s="2" t="s">
        <v>36</v>
      </c>
      <c r="C28" s="2" t="s">
        <v>37</v>
      </c>
      <c r="D28" s="2" t="s">
        <v>131</v>
      </c>
      <c r="E28" s="2" t="s">
        <v>132</v>
      </c>
      <c r="F28" s="2" t="s">
        <v>268</v>
      </c>
      <c r="G28" s="2" t="s">
        <v>269</v>
      </c>
      <c r="H28" s="2" t="s">
        <v>270</v>
      </c>
      <c r="I28" s="2">
        <v>1325</v>
      </c>
      <c r="J28" s="2">
        <v>1325</v>
      </c>
      <c r="K28" s="2">
        <v>120</v>
      </c>
      <c r="L28" s="2">
        <v>159000</v>
      </c>
      <c r="M28" s="2" t="s">
        <v>193</v>
      </c>
      <c r="N28" s="2" t="s">
        <v>194</v>
      </c>
    </row>
    <row r="29" spans="1:14" x14ac:dyDescent="0.25">
      <c r="A29" s="3" t="s">
        <v>271</v>
      </c>
      <c r="B29" s="3" t="s">
        <v>36</v>
      </c>
      <c r="C29" s="3" t="s">
        <v>37</v>
      </c>
      <c r="D29" s="3" t="s">
        <v>131</v>
      </c>
      <c r="E29" s="3" t="s">
        <v>132</v>
      </c>
      <c r="F29" s="3" t="s">
        <v>272</v>
      </c>
      <c r="G29" s="3" t="s">
        <v>273</v>
      </c>
      <c r="H29" s="3" t="s">
        <v>181</v>
      </c>
      <c r="I29" s="3">
        <v>1415</v>
      </c>
      <c r="J29" s="3">
        <v>0</v>
      </c>
      <c r="K29" s="3">
        <v>120</v>
      </c>
      <c r="L29" s="3">
        <v>169800</v>
      </c>
      <c r="M29" s="3" t="s">
        <v>182</v>
      </c>
      <c r="N29" s="3" t="s">
        <v>181</v>
      </c>
    </row>
    <row r="30" spans="1:14" x14ac:dyDescent="0.25">
      <c r="A30" s="2" t="s">
        <v>274</v>
      </c>
      <c r="B30" s="2" t="s">
        <v>39</v>
      </c>
      <c r="C30" s="2" t="s">
        <v>40</v>
      </c>
      <c r="D30" s="2" t="s">
        <v>143</v>
      </c>
      <c r="E30" s="2" t="s">
        <v>144</v>
      </c>
      <c r="F30" s="2" t="s">
        <v>191</v>
      </c>
      <c r="G30" s="2" t="s">
        <v>192</v>
      </c>
      <c r="H30" s="2" t="s">
        <v>181</v>
      </c>
      <c r="I30" s="2">
        <v>1383</v>
      </c>
      <c r="J30" s="2">
        <v>0</v>
      </c>
      <c r="K30" s="2">
        <v>90</v>
      </c>
      <c r="L30" s="2">
        <v>124470</v>
      </c>
      <c r="M30" s="2" t="s">
        <v>182</v>
      </c>
      <c r="N30" s="2" t="s">
        <v>181</v>
      </c>
    </row>
    <row r="31" spans="1:14" x14ac:dyDescent="0.25">
      <c r="A31" s="3" t="s">
        <v>275</v>
      </c>
      <c r="B31" s="3" t="s">
        <v>39</v>
      </c>
      <c r="C31" s="3" t="s">
        <v>40</v>
      </c>
      <c r="D31" s="3" t="s">
        <v>143</v>
      </c>
      <c r="E31" s="3" t="s">
        <v>144</v>
      </c>
      <c r="F31" s="3" t="s">
        <v>276</v>
      </c>
      <c r="G31" s="3" t="s">
        <v>239</v>
      </c>
      <c r="H31" s="3" t="s">
        <v>181</v>
      </c>
      <c r="I31" s="3">
        <v>1142</v>
      </c>
      <c r="J31" s="3">
        <v>0</v>
      </c>
      <c r="K31" s="3">
        <v>90</v>
      </c>
      <c r="L31" s="3">
        <v>102780</v>
      </c>
      <c r="M31" s="3" t="s">
        <v>182</v>
      </c>
      <c r="N31" s="3" t="s">
        <v>181</v>
      </c>
    </row>
    <row r="32" spans="1:14" x14ac:dyDescent="0.25">
      <c r="A32" s="2" t="s">
        <v>277</v>
      </c>
      <c r="B32" s="2" t="s">
        <v>39</v>
      </c>
      <c r="C32" s="2" t="s">
        <v>40</v>
      </c>
      <c r="D32" s="2" t="s">
        <v>143</v>
      </c>
      <c r="E32" s="2" t="s">
        <v>144</v>
      </c>
      <c r="F32" s="2" t="s">
        <v>278</v>
      </c>
      <c r="G32" s="2" t="s">
        <v>279</v>
      </c>
      <c r="H32" s="2" t="s">
        <v>279</v>
      </c>
      <c r="I32" s="2">
        <v>985</v>
      </c>
      <c r="J32" s="2">
        <v>985</v>
      </c>
      <c r="K32" s="2">
        <v>90</v>
      </c>
      <c r="L32" s="2">
        <v>88650</v>
      </c>
      <c r="M32" s="2" t="s">
        <v>193</v>
      </c>
      <c r="N32" s="2" t="s">
        <v>194</v>
      </c>
    </row>
    <row r="33" spans="1:14" x14ac:dyDescent="0.25">
      <c r="A33" s="3" t="s">
        <v>280</v>
      </c>
      <c r="B33" s="3" t="s">
        <v>39</v>
      </c>
      <c r="C33" s="3" t="s">
        <v>40</v>
      </c>
      <c r="D33" s="3" t="s">
        <v>143</v>
      </c>
      <c r="E33" s="3" t="s">
        <v>144</v>
      </c>
      <c r="F33" s="3" t="s">
        <v>281</v>
      </c>
      <c r="G33" s="3" t="s">
        <v>214</v>
      </c>
      <c r="H33" s="3" t="s">
        <v>214</v>
      </c>
      <c r="I33" s="3">
        <v>1735</v>
      </c>
      <c r="J33" s="3">
        <v>1735</v>
      </c>
      <c r="K33" s="3">
        <v>90</v>
      </c>
      <c r="L33" s="3">
        <v>156150</v>
      </c>
      <c r="M33" s="3" t="s">
        <v>193</v>
      </c>
      <c r="N33" s="3" t="s">
        <v>194</v>
      </c>
    </row>
    <row r="34" spans="1:14" x14ac:dyDescent="0.25">
      <c r="A34" s="2" t="s">
        <v>282</v>
      </c>
      <c r="B34" s="2" t="s">
        <v>41</v>
      </c>
      <c r="C34" s="2" t="s">
        <v>42</v>
      </c>
      <c r="D34" s="2" t="s">
        <v>153</v>
      </c>
      <c r="E34" s="2" t="s">
        <v>154</v>
      </c>
      <c r="F34" s="2" t="s">
        <v>283</v>
      </c>
      <c r="G34" s="2" t="s">
        <v>284</v>
      </c>
      <c r="H34" s="2" t="s">
        <v>285</v>
      </c>
      <c r="I34" s="2">
        <v>1594</v>
      </c>
      <c r="J34" s="2">
        <v>1594</v>
      </c>
      <c r="K34" s="2">
        <v>65</v>
      </c>
      <c r="L34" s="2">
        <v>103610</v>
      </c>
      <c r="M34" s="2" t="s">
        <v>193</v>
      </c>
      <c r="N34" s="2" t="s">
        <v>194</v>
      </c>
    </row>
    <row r="35" spans="1:14" x14ac:dyDescent="0.25">
      <c r="A35" s="3" t="s">
        <v>286</v>
      </c>
      <c r="B35" s="3" t="s">
        <v>41</v>
      </c>
      <c r="C35" s="3" t="s">
        <v>42</v>
      </c>
      <c r="D35" s="3" t="s">
        <v>153</v>
      </c>
      <c r="E35" s="3" t="s">
        <v>154</v>
      </c>
      <c r="F35" s="3" t="s">
        <v>236</v>
      </c>
      <c r="G35" s="3" t="s">
        <v>287</v>
      </c>
      <c r="H35" s="3" t="s">
        <v>181</v>
      </c>
      <c r="I35" s="3">
        <v>1346</v>
      </c>
      <c r="J35" s="3">
        <v>0</v>
      </c>
      <c r="K35" s="3">
        <v>65</v>
      </c>
      <c r="L35" s="3">
        <v>87490</v>
      </c>
      <c r="M35" s="3" t="s">
        <v>182</v>
      </c>
      <c r="N35" s="3" t="s">
        <v>181</v>
      </c>
    </row>
    <row r="36" spans="1:14" x14ac:dyDescent="0.25">
      <c r="A36" s="2" t="s">
        <v>288</v>
      </c>
      <c r="B36" s="2" t="s">
        <v>41</v>
      </c>
      <c r="C36" s="2" t="s">
        <v>42</v>
      </c>
      <c r="D36" s="2" t="s">
        <v>153</v>
      </c>
      <c r="E36" s="2" t="s">
        <v>154</v>
      </c>
      <c r="F36" s="2" t="s">
        <v>235</v>
      </c>
      <c r="G36" s="2" t="s">
        <v>236</v>
      </c>
      <c r="H36" s="2" t="s">
        <v>289</v>
      </c>
      <c r="I36" s="2">
        <v>1478</v>
      </c>
      <c r="J36" s="2">
        <v>1478</v>
      </c>
      <c r="K36" s="2">
        <v>65</v>
      </c>
      <c r="L36" s="2">
        <v>96070</v>
      </c>
      <c r="M36" s="2" t="s">
        <v>193</v>
      </c>
      <c r="N36" s="2" t="s">
        <v>203</v>
      </c>
    </row>
    <row r="37" spans="1:14" x14ac:dyDescent="0.25">
      <c r="A37" s="3" t="s">
        <v>290</v>
      </c>
      <c r="B37" s="3" t="s">
        <v>41</v>
      </c>
      <c r="C37" s="3" t="s">
        <v>42</v>
      </c>
      <c r="D37" s="3" t="s">
        <v>153</v>
      </c>
      <c r="E37" s="3" t="s">
        <v>154</v>
      </c>
      <c r="F37" s="3" t="s">
        <v>291</v>
      </c>
      <c r="G37" s="3" t="s">
        <v>292</v>
      </c>
      <c r="H37" s="3" t="s">
        <v>293</v>
      </c>
      <c r="I37" s="3">
        <v>1743</v>
      </c>
      <c r="J37" s="3">
        <v>1743</v>
      </c>
      <c r="K37" s="3">
        <v>65</v>
      </c>
      <c r="L37" s="3">
        <v>113295</v>
      </c>
      <c r="M37" s="3" t="s">
        <v>193</v>
      </c>
      <c r="N37" s="3" t="s">
        <v>203</v>
      </c>
    </row>
    <row r="38" spans="1:14" x14ac:dyDescent="0.25">
      <c r="A38" s="2" t="s">
        <v>294</v>
      </c>
      <c r="B38" s="2" t="s">
        <v>45</v>
      </c>
      <c r="C38" s="2" t="s">
        <v>46</v>
      </c>
      <c r="D38" s="2" t="s">
        <v>143</v>
      </c>
      <c r="E38" s="2" t="s">
        <v>144</v>
      </c>
      <c r="F38" s="2" t="s">
        <v>295</v>
      </c>
      <c r="G38" s="2" t="s">
        <v>296</v>
      </c>
      <c r="H38" s="2" t="s">
        <v>297</v>
      </c>
      <c r="I38" s="2">
        <v>2127</v>
      </c>
      <c r="J38" s="2">
        <v>2127</v>
      </c>
      <c r="K38" s="2">
        <v>55</v>
      </c>
      <c r="L38" s="2">
        <v>116985</v>
      </c>
      <c r="M38" s="2" t="s">
        <v>193</v>
      </c>
      <c r="N38" s="2" t="s">
        <v>203</v>
      </c>
    </row>
    <row r="39" spans="1:14" x14ac:dyDescent="0.25">
      <c r="A39" s="3" t="s">
        <v>298</v>
      </c>
      <c r="B39" s="3" t="s">
        <v>45</v>
      </c>
      <c r="C39" s="3" t="s">
        <v>46</v>
      </c>
      <c r="D39" s="3" t="s">
        <v>143</v>
      </c>
      <c r="E39" s="3" t="s">
        <v>144</v>
      </c>
      <c r="F39" s="3" t="s">
        <v>299</v>
      </c>
      <c r="G39" s="3" t="s">
        <v>291</v>
      </c>
      <c r="H39" s="3" t="s">
        <v>181</v>
      </c>
      <c r="I39" s="3">
        <v>2222</v>
      </c>
      <c r="J39" s="3">
        <v>0</v>
      </c>
      <c r="K39" s="3">
        <v>55</v>
      </c>
      <c r="L39" s="3">
        <v>122210</v>
      </c>
      <c r="M39" s="3" t="s">
        <v>186</v>
      </c>
      <c r="N39" s="3" t="s">
        <v>181</v>
      </c>
    </row>
    <row r="40" spans="1:14" x14ac:dyDescent="0.25">
      <c r="A40" s="2" t="s">
        <v>300</v>
      </c>
      <c r="B40" s="2" t="s">
        <v>45</v>
      </c>
      <c r="C40" s="2" t="s">
        <v>46</v>
      </c>
      <c r="D40" s="2" t="s">
        <v>143</v>
      </c>
      <c r="E40" s="2" t="s">
        <v>144</v>
      </c>
      <c r="F40" s="2" t="s">
        <v>301</v>
      </c>
      <c r="G40" s="2" t="s">
        <v>302</v>
      </c>
      <c r="H40" s="2" t="s">
        <v>229</v>
      </c>
      <c r="I40" s="2">
        <v>1609</v>
      </c>
      <c r="J40" s="2">
        <v>1609</v>
      </c>
      <c r="K40" s="2">
        <v>55</v>
      </c>
      <c r="L40" s="2">
        <v>88495</v>
      </c>
      <c r="M40" s="2" t="s">
        <v>193</v>
      </c>
      <c r="N40" s="2" t="s">
        <v>203</v>
      </c>
    </row>
    <row r="41" spans="1:14" x14ac:dyDescent="0.25">
      <c r="A41" s="3" t="s">
        <v>303</v>
      </c>
      <c r="B41" s="3" t="s">
        <v>45</v>
      </c>
      <c r="C41" s="3" t="s">
        <v>46</v>
      </c>
      <c r="D41" s="3" t="s">
        <v>143</v>
      </c>
      <c r="E41" s="3" t="s">
        <v>144</v>
      </c>
      <c r="F41" s="3" t="s">
        <v>304</v>
      </c>
      <c r="G41" s="3" t="s">
        <v>305</v>
      </c>
      <c r="H41" s="3" t="s">
        <v>181</v>
      </c>
      <c r="I41" s="3">
        <v>2215</v>
      </c>
      <c r="J41" s="3">
        <v>0</v>
      </c>
      <c r="K41" s="3">
        <v>55</v>
      </c>
      <c r="L41" s="3">
        <v>121825</v>
      </c>
      <c r="M41" s="3" t="s">
        <v>186</v>
      </c>
      <c r="N41" s="3" t="s">
        <v>181</v>
      </c>
    </row>
    <row r="42" spans="1:14" x14ac:dyDescent="0.25">
      <c r="A42" s="2" t="s">
        <v>306</v>
      </c>
      <c r="B42" s="2" t="s">
        <v>47</v>
      </c>
      <c r="C42" s="2" t="s">
        <v>48</v>
      </c>
      <c r="D42" s="2" t="s">
        <v>124</v>
      </c>
      <c r="E42" s="2" t="s">
        <v>125</v>
      </c>
      <c r="F42" s="2" t="s">
        <v>216</v>
      </c>
      <c r="G42" s="2" t="s">
        <v>217</v>
      </c>
      <c r="H42" s="2" t="s">
        <v>227</v>
      </c>
      <c r="I42" s="2">
        <v>2714</v>
      </c>
      <c r="J42" s="2">
        <v>2714</v>
      </c>
      <c r="K42" s="2">
        <v>70</v>
      </c>
      <c r="L42" s="2">
        <v>189980</v>
      </c>
      <c r="M42" s="2" t="s">
        <v>193</v>
      </c>
      <c r="N42" s="2" t="s">
        <v>194</v>
      </c>
    </row>
    <row r="43" spans="1:14" x14ac:dyDescent="0.25">
      <c r="A43" s="3" t="s">
        <v>307</v>
      </c>
      <c r="B43" s="3" t="s">
        <v>47</v>
      </c>
      <c r="C43" s="3" t="s">
        <v>48</v>
      </c>
      <c r="D43" s="3" t="s">
        <v>124</v>
      </c>
      <c r="E43" s="3" t="s">
        <v>125</v>
      </c>
      <c r="F43" s="3" t="s">
        <v>231</v>
      </c>
      <c r="G43" s="3" t="s">
        <v>308</v>
      </c>
      <c r="H43" s="3" t="s">
        <v>296</v>
      </c>
      <c r="I43" s="3">
        <v>1921</v>
      </c>
      <c r="J43" s="3">
        <v>1921</v>
      </c>
      <c r="K43" s="3">
        <v>70</v>
      </c>
      <c r="L43" s="3">
        <v>134470</v>
      </c>
      <c r="M43" s="3" t="s">
        <v>193</v>
      </c>
      <c r="N43" s="3" t="s">
        <v>203</v>
      </c>
    </row>
    <row r="44" spans="1:14" x14ac:dyDescent="0.25">
      <c r="A44" s="2" t="s">
        <v>309</v>
      </c>
      <c r="B44" s="2" t="s">
        <v>47</v>
      </c>
      <c r="C44" s="2" t="s">
        <v>48</v>
      </c>
      <c r="D44" s="2" t="s">
        <v>124</v>
      </c>
      <c r="E44" s="2" t="s">
        <v>125</v>
      </c>
      <c r="F44" s="2" t="s">
        <v>310</v>
      </c>
      <c r="G44" s="2" t="s">
        <v>311</v>
      </c>
      <c r="H44" s="2" t="s">
        <v>181</v>
      </c>
      <c r="I44" s="2">
        <v>2389</v>
      </c>
      <c r="J44" s="2">
        <v>0</v>
      </c>
      <c r="K44" s="2">
        <v>70</v>
      </c>
      <c r="L44" s="2">
        <v>167230</v>
      </c>
      <c r="M44" s="2" t="s">
        <v>182</v>
      </c>
      <c r="N44" s="2" t="s">
        <v>181</v>
      </c>
    </row>
    <row r="45" spans="1:14" x14ac:dyDescent="0.25">
      <c r="A45" s="3" t="s">
        <v>312</v>
      </c>
      <c r="B45" s="3" t="s">
        <v>47</v>
      </c>
      <c r="C45" s="3" t="s">
        <v>48</v>
      </c>
      <c r="D45" s="3" t="s">
        <v>124</v>
      </c>
      <c r="E45" s="3" t="s">
        <v>125</v>
      </c>
      <c r="F45" s="3" t="s">
        <v>302</v>
      </c>
      <c r="G45" s="3" t="s">
        <v>313</v>
      </c>
      <c r="H45" s="3" t="s">
        <v>313</v>
      </c>
      <c r="I45" s="3">
        <v>1938</v>
      </c>
      <c r="J45" s="3">
        <v>1938</v>
      </c>
      <c r="K45" s="3">
        <v>70</v>
      </c>
      <c r="L45" s="3">
        <v>135660</v>
      </c>
      <c r="M45" s="3" t="s">
        <v>193</v>
      </c>
      <c r="N45" s="3" t="s">
        <v>194</v>
      </c>
    </row>
    <row r="46" spans="1:14" x14ac:dyDescent="0.25">
      <c r="A46" s="2" t="s">
        <v>314</v>
      </c>
      <c r="B46" s="2" t="s">
        <v>49</v>
      </c>
      <c r="C46" s="2" t="s">
        <v>50</v>
      </c>
      <c r="D46" s="2" t="s">
        <v>124</v>
      </c>
      <c r="E46" s="2" t="s">
        <v>125</v>
      </c>
      <c r="F46" s="2" t="s">
        <v>315</v>
      </c>
      <c r="G46" s="2" t="s">
        <v>316</v>
      </c>
      <c r="H46" s="2" t="s">
        <v>181</v>
      </c>
      <c r="I46" s="2">
        <v>965</v>
      </c>
      <c r="J46" s="2">
        <v>0</v>
      </c>
      <c r="K46" s="2">
        <v>45</v>
      </c>
      <c r="L46" s="2">
        <v>43425</v>
      </c>
      <c r="M46" s="2" t="s">
        <v>186</v>
      </c>
      <c r="N46" s="2" t="s">
        <v>181</v>
      </c>
    </row>
    <row r="47" spans="1:14" x14ac:dyDescent="0.25">
      <c r="A47" s="3" t="s">
        <v>317</v>
      </c>
      <c r="B47" s="3" t="s">
        <v>49</v>
      </c>
      <c r="C47" s="3" t="s">
        <v>50</v>
      </c>
      <c r="D47" s="3" t="s">
        <v>124</v>
      </c>
      <c r="E47" s="3" t="s">
        <v>125</v>
      </c>
      <c r="F47" s="3" t="s">
        <v>318</v>
      </c>
      <c r="G47" s="3" t="s">
        <v>265</v>
      </c>
      <c r="H47" s="3" t="s">
        <v>181</v>
      </c>
      <c r="I47" s="3">
        <v>623</v>
      </c>
      <c r="J47" s="3">
        <v>0</v>
      </c>
      <c r="K47" s="3">
        <v>45</v>
      </c>
      <c r="L47" s="3">
        <v>28035</v>
      </c>
      <c r="M47" s="3" t="s">
        <v>182</v>
      </c>
      <c r="N47" s="3" t="s">
        <v>181</v>
      </c>
    </row>
    <row r="48" spans="1:14" x14ac:dyDescent="0.25">
      <c r="A48" s="2" t="s">
        <v>319</v>
      </c>
      <c r="B48" s="2" t="s">
        <v>49</v>
      </c>
      <c r="C48" s="2" t="s">
        <v>50</v>
      </c>
      <c r="D48" s="2" t="s">
        <v>124</v>
      </c>
      <c r="E48" s="2" t="s">
        <v>125</v>
      </c>
      <c r="F48" s="2" t="s">
        <v>320</v>
      </c>
      <c r="G48" s="2" t="s">
        <v>321</v>
      </c>
      <c r="H48" s="2" t="s">
        <v>205</v>
      </c>
      <c r="I48" s="2">
        <v>1047</v>
      </c>
      <c r="J48" s="2">
        <v>1047</v>
      </c>
      <c r="K48" s="2">
        <v>45</v>
      </c>
      <c r="L48" s="2">
        <v>47115</v>
      </c>
      <c r="M48" s="2" t="s">
        <v>193</v>
      </c>
      <c r="N48" s="2" t="s">
        <v>194</v>
      </c>
    </row>
    <row r="49" spans="1:14" x14ac:dyDescent="0.25">
      <c r="A49" s="3" t="s">
        <v>322</v>
      </c>
      <c r="B49" s="3" t="s">
        <v>49</v>
      </c>
      <c r="C49" s="3" t="s">
        <v>50</v>
      </c>
      <c r="D49" s="3" t="s">
        <v>124</v>
      </c>
      <c r="E49" s="3" t="s">
        <v>125</v>
      </c>
      <c r="F49" s="3" t="s">
        <v>260</v>
      </c>
      <c r="G49" s="3" t="s">
        <v>261</v>
      </c>
      <c r="H49" s="3" t="s">
        <v>323</v>
      </c>
      <c r="I49" s="3">
        <v>802</v>
      </c>
      <c r="J49" s="3">
        <v>802</v>
      </c>
      <c r="K49" s="3">
        <v>45</v>
      </c>
      <c r="L49" s="3">
        <v>36090</v>
      </c>
      <c r="M49" s="3" t="s">
        <v>193</v>
      </c>
      <c r="N49" s="3" t="s">
        <v>194</v>
      </c>
    </row>
    <row r="50" spans="1:14" x14ac:dyDescent="0.25">
      <c r="A50" s="2" t="s">
        <v>324</v>
      </c>
      <c r="B50" s="2" t="s">
        <v>53</v>
      </c>
      <c r="C50" s="2" t="s">
        <v>54</v>
      </c>
      <c r="D50" s="2" t="s">
        <v>148</v>
      </c>
      <c r="E50" s="2" t="s">
        <v>149</v>
      </c>
      <c r="F50" s="2" t="s">
        <v>325</v>
      </c>
      <c r="G50" s="2" t="s">
        <v>326</v>
      </c>
      <c r="H50" s="2" t="s">
        <v>241</v>
      </c>
      <c r="I50" s="2">
        <v>3095</v>
      </c>
      <c r="J50" s="2">
        <v>3095</v>
      </c>
      <c r="K50" s="2">
        <v>55</v>
      </c>
      <c r="L50" s="2">
        <v>170225</v>
      </c>
      <c r="M50" s="2" t="s">
        <v>193</v>
      </c>
      <c r="N50" s="2" t="s">
        <v>203</v>
      </c>
    </row>
    <row r="51" spans="1:14" x14ac:dyDescent="0.25">
      <c r="A51" s="3" t="s">
        <v>327</v>
      </c>
      <c r="B51" s="3" t="s">
        <v>53</v>
      </c>
      <c r="C51" s="3" t="s">
        <v>54</v>
      </c>
      <c r="D51" s="3" t="s">
        <v>148</v>
      </c>
      <c r="E51" s="3" t="s">
        <v>149</v>
      </c>
      <c r="F51" s="3" t="s">
        <v>263</v>
      </c>
      <c r="G51" s="3" t="s">
        <v>264</v>
      </c>
      <c r="H51" s="3" t="s">
        <v>328</v>
      </c>
      <c r="I51" s="3">
        <v>1905</v>
      </c>
      <c r="J51" s="3">
        <v>1905</v>
      </c>
      <c r="K51" s="3">
        <v>55</v>
      </c>
      <c r="L51" s="3">
        <v>104775</v>
      </c>
      <c r="M51" s="3" t="s">
        <v>193</v>
      </c>
      <c r="N51" s="3" t="s">
        <v>203</v>
      </c>
    </row>
    <row r="52" spans="1:14" x14ac:dyDescent="0.25">
      <c r="A52" s="2" t="s">
        <v>329</v>
      </c>
      <c r="B52" s="2" t="s">
        <v>53</v>
      </c>
      <c r="C52" s="2" t="s">
        <v>54</v>
      </c>
      <c r="D52" s="2" t="s">
        <v>148</v>
      </c>
      <c r="E52" s="2" t="s">
        <v>149</v>
      </c>
      <c r="F52" s="2" t="s">
        <v>251</v>
      </c>
      <c r="G52" s="2" t="s">
        <v>330</v>
      </c>
      <c r="H52" s="2" t="s">
        <v>331</v>
      </c>
      <c r="I52" s="2">
        <v>2904</v>
      </c>
      <c r="J52" s="2">
        <v>2904</v>
      </c>
      <c r="K52" s="2">
        <v>55</v>
      </c>
      <c r="L52" s="2">
        <v>159720</v>
      </c>
      <c r="M52" s="2" t="s">
        <v>193</v>
      </c>
      <c r="N52" s="2" t="s">
        <v>203</v>
      </c>
    </row>
    <row r="53" spans="1:14" x14ac:dyDescent="0.25">
      <c r="A53" s="3" t="s">
        <v>332</v>
      </c>
      <c r="B53" s="3" t="s">
        <v>53</v>
      </c>
      <c r="C53" s="3" t="s">
        <v>54</v>
      </c>
      <c r="D53" s="3" t="s">
        <v>148</v>
      </c>
      <c r="E53" s="3" t="s">
        <v>149</v>
      </c>
      <c r="F53" s="3" t="s">
        <v>224</v>
      </c>
      <c r="G53" s="3" t="s">
        <v>333</v>
      </c>
      <c r="H53" s="3" t="s">
        <v>246</v>
      </c>
      <c r="I53" s="3">
        <v>2422</v>
      </c>
      <c r="J53" s="3">
        <v>2422</v>
      </c>
      <c r="K53" s="3">
        <v>55</v>
      </c>
      <c r="L53" s="3">
        <v>133210</v>
      </c>
      <c r="M53" s="3" t="s">
        <v>193</v>
      </c>
      <c r="N53" s="3" t="s">
        <v>203</v>
      </c>
    </row>
    <row r="54" spans="1:14" x14ac:dyDescent="0.25">
      <c r="A54" s="2" t="s">
        <v>334</v>
      </c>
      <c r="B54" s="2" t="s">
        <v>57</v>
      </c>
      <c r="C54" s="2" t="s">
        <v>58</v>
      </c>
      <c r="D54" s="2" t="s">
        <v>148</v>
      </c>
      <c r="E54" s="2" t="s">
        <v>149</v>
      </c>
      <c r="F54" s="2" t="s">
        <v>219</v>
      </c>
      <c r="G54" s="2" t="s">
        <v>220</v>
      </c>
      <c r="H54" s="2" t="s">
        <v>181</v>
      </c>
      <c r="I54" s="2">
        <v>2744</v>
      </c>
      <c r="J54" s="2">
        <v>0</v>
      </c>
      <c r="K54" s="2">
        <v>40</v>
      </c>
      <c r="L54" s="2">
        <v>109760</v>
      </c>
      <c r="M54" s="2" t="s">
        <v>182</v>
      </c>
      <c r="N54" s="2" t="s">
        <v>181</v>
      </c>
    </row>
    <row r="55" spans="1:14" x14ac:dyDescent="0.25">
      <c r="A55" s="3" t="s">
        <v>335</v>
      </c>
      <c r="B55" s="3" t="s">
        <v>57</v>
      </c>
      <c r="C55" s="3" t="s">
        <v>58</v>
      </c>
      <c r="D55" s="3" t="s">
        <v>148</v>
      </c>
      <c r="E55" s="3" t="s">
        <v>149</v>
      </c>
      <c r="F55" s="3" t="s">
        <v>336</v>
      </c>
      <c r="G55" s="3" t="s">
        <v>207</v>
      </c>
      <c r="H55" s="3" t="s">
        <v>207</v>
      </c>
      <c r="I55" s="3">
        <v>1662</v>
      </c>
      <c r="J55" s="3">
        <v>1662</v>
      </c>
      <c r="K55" s="3">
        <v>40</v>
      </c>
      <c r="L55" s="3">
        <v>66480</v>
      </c>
      <c r="M55" s="3" t="s">
        <v>193</v>
      </c>
      <c r="N55" s="3" t="s">
        <v>194</v>
      </c>
    </row>
    <row r="56" spans="1:14" x14ac:dyDescent="0.25">
      <c r="A56" s="2" t="s">
        <v>337</v>
      </c>
      <c r="B56" s="2" t="s">
        <v>57</v>
      </c>
      <c r="C56" s="2" t="s">
        <v>58</v>
      </c>
      <c r="D56" s="2" t="s">
        <v>148</v>
      </c>
      <c r="E56" s="2" t="s">
        <v>149</v>
      </c>
      <c r="F56" s="2" t="s">
        <v>331</v>
      </c>
      <c r="G56" s="2" t="s">
        <v>338</v>
      </c>
      <c r="H56" s="2" t="s">
        <v>181</v>
      </c>
      <c r="I56" s="2">
        <v>1771</v>
      </c>
      <c r="J56" s="2">
        <v>0</v>
      </c>
      <c r="K56" s="2">
        <v>40</v>
      </c>
      <c r="L56" s="2">
        <v>70840</v>
      </c>
      <c r="M56" s="2" t="s">
        <v>182</v>
      </c>
      <c r="N56" s="2" t="s">
        <v>181</v>
      </c>
    </row>
    <row r="57" spans="1:14" x14ac:dyDescent="0.25">
      <c r="A57" s="3" t="s">
        <v>339</v>
      </c>
      <c r="B57" s="3" t="s">
        <v>57</v>
      </c>
      <c r="C57" s="3" t="s">
        <v>58</v>
      </c>
      <c r="D57" s="3" t="s">
        <v>148</v>
      </c>
      <c r="E57" s="3" t="s">
        <v>149</v>
      </c>
      <c r="F57" s="3" t="s">
        <v>340</v>
      </c>
      <c r="G57" s="3" t="s">
        <v>341</v>
      </c>
      <c r="H57" s="3" t="s">
        <v>181</v>
      </c>
      <c r="I57" s="3">
        <v>1605</v>
      </c>
      <c r="J57" s="3">
        <v>0</v>
      </c>
      <c r="K57" s="3">
        <v>40</v>
      </c>
      <c r="L57" s="3">
        <v>64200</v>
      </c>
      <c r="M57" s="3" t="s">
        <v>186</v>
      </c>
      <c r="N57" s="3" t="s">
        <v>181</v>
      </c>
    </row>
    <row r="58" spans="1:14" x14ac:dyDescent="0.25">
      <c r="A58" s="2" t="s">
        <v>342</v>
      </c>
      <c r="B58" s="2" t="s">
        <v>59</v>
      </c>
      <c r="C58" s="2" t="s">
        <v>60</v>
      </c>
      <c r="D58" s="2" t="s">
        <v>157</v>
      </c>
      <c r="E58" s="2" t="s">
        <v>158</v>
      </c>
      <c r="F58" s="2" t="s">
        <v>283</v>
      </c>
      <c r="G58" s="2" t="s">
        <v>284</v>
      </c>
      <c r="H58" s="2" t="s">
        <v>285</v>
      </c>
      <c r="I58" s="2">
        <v>399</v>
      </c>
      <c r="J58" s="2">
        <v>399</v>
      </c>
      <c r="K58" s="2">
        <v>78</v>
      </c>
      <c r="L58" s="2">
        <v>31122</v>
      </c>
      <c r="M58" s="2" t="s">
        <v>193</v>
      </c>
      <c r="N58" s="2" t="s">
        <v>194</v>
      </c>
    </row>
    <row r="59" spans="1:14" x14ac:dyDescent="0.25">
      <c r="A59" s="3" t="s">
        <v>343</v>
      </c>
      <c r="B59" s="3" t="s">
        <v>59</v>
      </c>
      <c r="C59" s="3" t="s">
        <v>60</v>
      </c>
      <c r="D59" s="3" t="s">
        <v>157</v>
      </c>
      <c r="E59" s="3" t="s">
        <v>158</v>
      </c>
      <c r="F59" s="3" t="s">
        <v>252</v>
      </c>
      <c r="G59" s="3" t="s">
        <v>344</v>
      </c>
      <c r="H59" s="3" t="s">
        <v>272</v>
      </c>
      <c r="I59" s="3">
        <v>545</v>
      </c>
      <c r="J59" s="3">
        <v>545</v>
      </c>
      <c r="K59" s="3">
        <v>78</v>
      </c>
      <c r="L59" s="3">
        <v>42510</v>
      </c>
      <c r="M59" s="3" t="s">
        <v>193</v>
      </c>
      <c r="N59" s="3" t="s">
        <v>203</v>
      </c>
    </row>
    <row r="60" spans="1:14" x14ac:dyDescent="0.25">
      <c r="A60" s="2" t="s">
        <v>345</v>
      </c>
      <c r="B60" s="2" t="s">
        <v>59</v>
      </c>
      <c r="C60" s="2" t="s">
        <v>60</v>
      </c>
      <c r="D60" s="2" t="s">
        <v>157</v>
      </c>
      <c r="E60" s="2" t="s">
        <v>158</v>
      </c>
      <c r="F60" s="2" t="s">
        <v>346</v>
      </c>
      <c r="G60" s="2" t="s">
        <v>320</v>
      </c>
      <c r="H60" s="2" t="s">
        <v>184</v>
      </c>
      <c r="I60" s="2">
        <v>481</v>
      </c>
      <c r="J60" s="2">
        <v>481</v>
      </c>
      <c r="K60" s="2">
        <v>78</v>
      </c>
      <c r="L60" s="2">
        <v>37518</v>
      </c>
      <c r="M60" s="2" t="s">
        <v>193</v>
      </c>
      <c r="N60" s="2" t="s">
        <v>203</v>
      </c>
    </row>
    <row r="61" spans="1:14" x14ac:dyDescent="0.25">
      <c r="A61" s="3" t="s">
        <v>347</v>
      </c>
      <c r="B61" s="3" t="s">
        <v>59</v>
      </c>
      <c r="C61" s="3" t="s">
        <v>60</v>
      </c>
      <c r="D61" s="3" t="s">
        <v>157</v>
      </c>
      <c r="E61" s="3" t="s">
        <v>158</v>
      </c>
      <c r="F61" s="3" t="s">
        <v>270</v>
      </c>
      <c r="G61" s="3" t="s">
        <v>289</v>
      </c>
      <c r="H61" s="3" t="s">
        <v>236</v>
      </c>
      <c r="I61" s="3">
        <v>397</v>
      </c>
      <c r="J61" s="3">
        <v>397</v>
      </c>
      <c r="K61" s="3">
        <v>78</v>
      </c>
      <c r="L61" s="3">
        <v>30966</v>
      </c>
      <c r="M61" s="3" t="s">
        <v>193</v>
      </c>
      <c r="N61" s="3" t="s">
        <v>194</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6F755-B5D3-477B-97F2-8A48FC4C665F}">
  <dimension ref="A1:I16"/>
  <sheetViews>
    <sheetView workbookViewId="0">
      <selection activeCell="I23" sqref="I23"/>
    </sheetView>
  </sheetViews>
  <sheetFormatPr defaultRowHeight="15" x14ac:dyDescent="0.25"/>
  <cols>
    <col min="2" max="2" width="16.7109375" customWidth="1"/>
    <col min="3" max="3" width="17" customWidth="1"/>
    <col min="4" max="4" width="14.28515625" customWidth="1"/>
    <col min="5" max="5" width="15.5703125" customWidth="1"/>
    <col min="6" max="6" width="15.140625" customWidth="1"/>
    <col min="7" max="7" width="12" customWidth="1"/>
    <col min="8" max="8" width="18" customWidth="1"/>
    <col min="9" max="9" width="20" customWidth="1"/>
  </cols>
  <sheetData>
    <row r="1" spans="1:9" x14ac:dyDescent="0.25">
      <c r="A1" t="s">
        <v>388</v>
      </c>
      <c r="B1" t="s">
        <v>389</v>
      </c>
      <c r="C1" t="s">
        <v>390</v>
      </c>
      <c r="D1" t="s">
        <v>391</v>
      </c>
      <c r="E1" t="s">
        <v>392</v>
      </c>
      <c r="F1" t="s">
        <v>393</v>
      </c>
      <c r="G1" t="s">
        <v>394</v>
      </c>
      <c r="H1" t="s">
        <v>395</v>
      </c>
      <c r="I1" s="21" t="s">
        <v>396</v>
      </c>
    </row>
    <row r="2" spans="1:9" x14ac:dyDescent="0.25">
      <c r="A2" t="str">
        <f>Table2[[#This Row],[SKU_ID]]</f>
        <v>SKU001</v>
      </c>
      <c r="B2">
        <f>AVERAGEIF(Demand_Data!B2:B1081,Table5[[#This Row],[SKU]],Demand_Data!H2:H1081)</f>
        <v>4075.7183098591549</v>
      </c>
      <c r="C2" cm="1">
        <f t="array" ref="C2">STDEV(IF(Demand_Data!B2:B1081=Table5[[#This Row],[SKU]],Demand_Data!H2:H1081))</f>
        <v>646.17359859181931</v>
      </c>
      <c r="D2">
        <f>Table5[[#This Row],[StDev Demand]]/Table5[[#This Row],[Mean Demand]]</f>
        <v>0.15854226162508006</v>
      </c>
      <c r="E2">
        <f>AVERAGEIFS(Purchase_Orders!I2:I61,Purchase_Orders!B2:B61,Table5[[#This Row],[SKU]])</f>
        <v>2670.5</v>
      </c>
      <c r="F2" cm="1">
        <f t="array" ref="F2">STDEV(IF(Purchase_Orders!B2:B61=Table5[[#This Row],[SKU]],Purchase_Orders!I2:I61))</f>
        <v>380.83811083801299</v>
      </c>
      <c r="G2">
        <f>Table5[[#This Row],[ StDev Orders]]/Table5[[#This Row],[ Mean Orders ]]</f>
        <v>0.14260929070886089</v>
      </c>
      <c r="H2">
        <f>Table5[[#This Row],[CV Orders]]/Table5[[#This Row],[ CV Demand ]]</f>
        <v>0.89950332010591982</v>
      </c>
      <c r="I2" t="str">
        <f>IF(Table5[[#This Row],[Bullwhip Ratio]]&gt;1.5,"High Bullwhip",IF(Table5[[#This Row],[Bullwhip Ratio]]&gt;1,"Moderate Bullwhip","Stable"))</f>
        <v>Stable</v>
      </c>
    </row>
    <row r="3" spans="1:9" x14ac:dyDescent="0.25">
      <c r="A3" t="str">
        <f>Table2[[#This Row],[SKU_ID]]</f>
        <v>SKU002</v>
      </c>
      <c r="B3">
        <f>AVERAGEIF(Demand_Data!B3:B1082,Table5[[#This Row],[SKU]],Demand_Data!H3:H1082)</f>
        <v>6624.583333333333</v>
      </c>
      <c r="C3" cm="1">
        <f t="array" ref="C3">STDEV(IF(Demand_Data!B3:B1082=Table5[[#This Row],[SKU]],Demand_Data!H3:H1082))</f>
        <v>1095.8275893742605</v>
      </c>
      <c r="D3">
        <f>Table5[[#This Row],[StDev Demand]]/Table5[[#This Row],[Mean Demand]]</f>
        <v>0.16541834168804487</v>
      </c>
      <c r="E3">
        <f>AVERAGEIFS(Purchase_Orders!I3:I62,Purchase_Orders!B3:B62,Table5[[#This Row],[SKU]])</f>
        <v>3902.75</v>
      </c>
      <c r="F3" cm="1">
        <f t="array" ref="F3">STDEV(IF(Purchase_Orders!B3:B62=Table5[[#This Row],[SKU]],Purchase_Orders!I3:I62))</f>
        <v>645.50619671696415</v>
      </c>
      <c r="G3">
        <f>Table5[[#This Row],[ StDev Orders]]/Table5[[#This Row],[ Mean Orders ]]</f>
        <v>0.16539778277290734</v>
      </c>
      <c r="H3">
        <f>Table5[[#This Row],[CV Orders]]/Table5[[#This Row],[ CV Demand ]]</f>
        <v>0.99987571562543953</v>
      </c>
      <c r="I3" t="str">
        <f>IF(Table5[[#This Row],[Bullwhip Ratio]]&gt;1.5,"High Bullwhip",IF(Table5[[#This Row],[Bullwhip Ratio]]&gt;1,"Moderate Bullwhip","Stable"))</f>
        <v>Stable</v>
      </c>
    </row>
    <row r="4" spans="1:9" x14ac:dyDescent="0.25">
      <c r="A4" t="str">
        <f>Table2[[#This Row],[SKU_ID]]</f>
        <v>SKU003</v>
      </c>
      <c r="B4">
        <f>AVERAGEIF(Demand_Data!B4:B1083,Table5[[#This Row],[SKU]],Demand_Data!H4:H1083)</f>
        <v>9268.4027777777774</v>
      </c>
      <c r="C4" cm="1">
        <f t="array" ref="C4">STDEV(IF(Demand_Data!B4:B1083=Table5[[#This Row],[SKU]],Demand_Data!H4:H1083))</f>
        <v>1573.2624366710297</v>
      </c>
      <c r="D4">
        <f>Table5[[#This Row],[StDev Demand]]/Table5[[#This Row],[Mean Demand]]</f>
        <v>0.1697447202492251</v>
      </c>
      <c r="E4">
        <f>AVERAGEIFS(Purchase_Orders!I4:I63,Purchase_Orders!B4:B63,Table5[[#This Row],[SKU]])</f>
        <v>5842.75</v>
      </c>
      <c r="F4" cm="1">
        <f t="array" ref="F4">STDEV(IF(Purchase_Orders!B4:B63=Table5[[#This Row],[SKU]],Purchase_Orders!I4:I63))</f>
        <v>1434.068658281976</v>
      </c>
      <c r="G4">
        <f>Table5[[#This Row],[ StDev Orders]]/Table5[[#This Row],[ Mean Orders ]]</f>
        <v>0.24544412447597039</v>
      </c>
      <c r="H4">
        <f>Table5[[#This Row],[CV Orders]]/Table5[[#This Row],[ CV Demand ]]</f>
        <v>1.4459602873986348</v>
      </c>
      <c r="I4" t="str">
        <f>IF(Table5[[#This Row],[Bullwhip Ratio]]&gt;1.5,"High Bullwhip",IF(Table5[[#This Row],[Bullwhip Ratio]]&gt;1,"Moderate Bullwhip","Stable"))</f>
        <v>Moderate Bullwhip</v>
      </c>
    </row>
    <row r="5" spans="1:9" x14ac:dyDescent="0.25">
      <c r="A5" t="str">
        <f>Table2[[#This Row],[SKU_ID]]</f>
        <v>SKU004</v>
      </c>
      <c r="B5">
        <f>AVERAGEIF(Demand_Data!B5:B1084,Table5[[#This Row],[SKU]],Demand_Data!H5:H1084)</f>
        <v>3098.5</v>
      </c>
      <c r="C5" cm="1">
        <f t="array" ref="C5">STDEV(IF(Demand_Data!B5:B1084=Table5[[#This Row],[SKU]],Demand_Data!H5:H1084))</f>
        <v>516.62114595775529</v>
      </c>
      <c r="D5">
        <f>Table5[[#This Row],[StDev Demand]]/Table5[[#This Row],[Mean Demand]]</f>
        <v>0.16673265966040191</v>
      </c>
      <c r="E5">
        <f>AVERAGEIFS(Purchase_Orders!I5:I64,Purchase_Orders!B5:B64,Table5[[#This Row],[SKU]])</f>
        <v>1995</v>
      </c>
      <c r="F5" cm="1">
        <f t="array" ref="F5">STDEV(IF(Purchase_Orders!B5:B64=Table5[[#This Row],[SKU]],Purchase_Orders!I5:I64))</f>
        <v>251.59093783361911</v>
      </c>
      <c r="G5">
        <f>Table5[[#This Row],[ StDev Orders]]/Table5[[#This Row],[ Mean Orders ]]</f>
        <v>0.12611074578126272</v>
      </c>
      <c r="H5">
        <f>Table5[[#This Row],[CV Orders]]/Table5[[#This Row],[ CV Demand ]]</f>
        <v>0.75636498594890067</v>
      </c>
      <c r="I5" t="str">
        <f>IF(Table5[[#This Row],[Bullwhip Ratio]]&gt;1.5,"High Bullwhip",IF(Table5[[#This Row],[Bullwhip Ratio]]&gt;1,"Moderate Bullwhip","Stable"))</f>
        <v>Stable</v>
      </c>
    </row>
    <row r="6" spans="1:9" x14ac:dyDescent="0.25">
      <c r="A6" t="str">
        <f>Table2[[#This Row],[SKU_ID]]</f>
        <v>SKU005</v>
      </c>
      <c r="B6">
        <f>AVERAGEIF(Demand_Data!B6:B1085,Table5[[#This Row],[SKU]],Demand_Data!H6:H1085)</f>
        <v>11856.847222222223</v>
      </c>
      <c r="C6" cm="1">
        <f t="array" ref="C6">STDEV(IF(Demand_Data!B6:B1085=Table5[[#This Row],[SKU]],Demand_Data!H6:H1085))</f>
        <v>1808.7668249485425</v>
      </c>
      <c r="D6">
        <f>Table5[[#This Row],[StDev Demand]]/Table5[[#This Row],[Mean Demand]]</f>
        <v>0.15255040324366612</v>
      </c>
      <c r="E6">
        <f>AVERAGEIFS(Purchase_Orders!I6:I65,Purchase_Orders!B6:B65,Table5[[#This Row],[SKU]])</f>
        <v>7352.25</v>
      </c>
      <c r="F6" cm="1">
        <f t="array" ref="F6">STDEV(IF(Purchase_Orders!B6:B65=Table5[[#This Row],[SKU]],Purchase_Orders!I6:I65))</f>
        <v>1367.6428322726174</v>
      </c>
      <c r="G6">
        <f>Table5[[#This Row],[ StDev Orders]]/Table5[[#This Row],[ Mean Orders ]]</f>
        <v>0.18601691077868918</v>
      </c>
      <c r="H6">
        <f>Table5[[#This Row],[CV Orders]]/Table5[[#This Row],[ CV Demand ]]</f>
        <v>1.2193800004682229</v>
      </c>
      <c r="I6" t="str">
        <f>IF(Table5[[#This Row],[Bullwhip Ratio]]&gt;1.5,"High Bullwhip",IF(Table5[[#This Row],[Bullwhip Ratio]]&gt;1,"Moderate Bullwhip","Stable"))</f>
        <v>Moderate Bullwhip</v>
      </c>
    </row>
    <row r="7" spans="1:9" x14ac:dyDescent="0.25">
      <c r="A7" t="str">
        <f>Table2[[#This Row],[SKU_ID]]</f>
        <v>SKU006</v>
      </c>
      <c r="B7">
        <f>AVERAGEIF(Demand_Data!B7:B1086,Table5[[#This Row],[SKU]],Demand_Data!H7:H1086)</f>
        <v>10686.736111111111</v>
      </c>
      <c r="C7" cm="1">
        <f t="array" ref="C7">STDEV(IF(Demand_Data!B7:B1086=Table5[[#This Row],[SKU]],Demand_Data!H7:H1086))</f>
        <v>1877.573411426923</v>
      </c>
      <c r="D7">
        <f>Table5[[#This Row],[StDev Demand]]/Table5[[#This Row],[Mean Demand]]</f>
        <v>0.17569194110396255</v>
      </c>
      <c r="E7">
        <f>AVERAGEIFS(Purchase_Orders!I7:I66,Purchase_Orders!B7:B66,Table5[[#This Row],[SKU]])</f>
        <v>5780.25</v>
      </c>
      <c r="F7" cm="1">
        <f t="array" ref="F7">STDEV(IF(Purchase_Orders!B7:B66=Table5[[#This Row],[SKU]],Purchase_Orders!I7:I66))</f>
        <v>1733.1355736544867</v>
      </c>
      <c r="G7">
        <f>Table5[[#This Row],[ StDev Orders]]/Table5[[#This Row],[ Mean Orders ]]</f>
        <v>0.2998374765199579</v>
      </c>
      <c r="H7">
        <f>Table5[[#This Row],[CV Orders]]/Table5[[#This Row],[ CV Demand ]]</f>
        <v>1.7066091628103446</v>
      </c>
      <c r="I7" t="str">
        <f>IF(Table5[[#This Row],[Bullwhip Ratio]]&gt;1.5,"High Bullwhip",IF(Table5[[#This Row],[Bullwhip Ratio]]&gt;1,"Moderate Bullwhip","Stable"))</f>
        <v>High Bullwhip</v>
      </c>
    </row>
    <row r="8" spans="1:9" x14ac:dyDescent="0.25">
      <c r="A8" t="str">
        <f>Table2[[#This Row],[SKU_ID]]</f>
        <v>SKU007</v>
      </c>
      <c r="B8">
        <f>AVERAGEIF(Demand_Data!B8:B1087,Table5[[#This Row],[SKU]],Demand_Data!H8:H1087)</f>
        <v>1747.125</v>
      </c>
      <c r="C8" cm="1">
        <f t="array" ref="C8">STDEV(IF(Demand_Data!B8:B1087=Table5[[#This Row],[SKU]],Demand_Data!H8:H1087))</f>
        <v>277.6347756711537</v>
      </c>
      <c r="D8">
        <f>Table5[[#This Row],[StDev Demand]]/Table5[[#This Row],[Mean Demand]]</f>
        <v>0.15890950886236171</v>
      </c>
      <c r="E8">
        <f>AVERAGEIFS(Purchase_Orders!I8:I67,Purchase_Orders!B8:B67,Table5[[#This Row],[SKU]])</f>
        <v>1339.75</v>
      </c>
      <c r="F8" cm="1">
        <f t="array" ref="F8">STDEV(IF(Purchase_Orders!B8:B67=Table5[[#This Row],[SKU]],Purchase_Orders!I8:I67))</f>
        <v>102.06982903875171</v>
      </c>
      <c r="G8">
        <f>Table5[[#This Row],[ StDev Orders]]/Table5[[#This Row],[ Mean Orders ]]</f>
        <v>7.618572796324069E-2</v>
      </c>
      <c r="H8">
        <f>Table5[[#This Row],[CV Orders]]/Table5[[#This Row],[ CV Demand ]]</f>
        <v>0.47942837724851561</v>
      </c>
      <c r="I8" t="str">
        <f>IF(Table5[[#This Row],[Bullwhip Ratio]]&gt;1.5,"High Bullwhip",IF(Table5[[#This Row],[Bullwhip Ratio]]&gt;1,"Moderate Bullwhip","Stable"))</f>
        <v>Stable</v>
      </c>
    </row>
    <row r="9" spans="1:9" x14ac:dyDescent="0.25">
      <c r="A9" t="str">
        <f>Table2[[#This Row],[SKU_ID]]</f>
        <v>SKU008</v>
      </c>
      <c r="B9">
        <f>AVERAGEIF(Demand_Data!B9:B1088,Table5[[#This Row],[SKU]],Demand_Data!H9:H1088)</f>
        <v>2125.5138888888887</v>
      </c>
      <c r="C9" cm="1">
        <f t="array" ref="C9">STDEV(IF(Demand_Data!B9:B1088=Table5[[#This Row],[SKU]],Demand_Data!H9:H1088))</f>
        <v>357.00380686239316</v>
      </c>
      <c r="D9">
        <f>Table5[[#This Row],[StDev Demand]]/Table5[[#This Row],[Mean Demand]]</f>
        <v>0.1679611734031137</v>
      </c>
      <c r="E9">
        <f>AVERAGEIFS(Purchase_Orders!I9:I68,Purchase_Orders!B9:B68,Table5[[#This Row],[SKU]])</f>
        <v>1311.25</v>
      </c>
      <c r="F9" cm="1">
        <f t="array" ref="F9">STDEV(IF(Purchase_Orders!B9:B68=Table5[[#This Row],[SKU]],Purchase_Orders!I9:I68))</f>
        <v>326.49489531486807</v>
      </c>
      <c r="G9">
        <f>Table5[[#This Row],[ StDev Orders]]/Table5[[#This Row],[ Mean Orders ]]</f>
        <v>0.24899515371963246</v>
      </c>
      <c r="H9">
        <f>Table5[[#This Row],[CV Orders]]/Table5[[#This Row],[ CV Demand ]]</f>
        <v>1.4824566218171975</v>
      </c>
      <c r="I9" t="str">
        <f>IF(Table5[[#This Row],[Bullwhip Ratio]]&gt;1.5,"High Bullwhip",IF(Table5[[#This Row],[Bullwhip Ratio]]&gt;1,"Moderate Bullwhip","Stable"))</f>
        <v>Moderate Bullwhip</v>
      </c>
    </row>
    <row r="10" spans="1:9" x14ac:dyDescent="0.25">
      <c r="A10" t="str">
        <f>Table2[[#This Row],[SKU_ID]]</f>
        <v>SKU009</v>
      </c>
      <c r="B10">
        <f>AVERAGEIF(Demand_Data!B10:B1089,Table5[[#This Row],[SKU]],Demand_Data!H10:H1089)</f>
        <v>2706.4166666666665</v>
      </c>
      <c r="C10" cm="1">
        <f t="array" ref="C10">STDEV(IF(Demand_Data!B10:B1089=Table5[[#This Row],[SKU]],Demand_Data!H10:H1089))</f>
        <v>439.55626632731065</v>
      </c>
      <c r="D10">
        <f>Table5[[#This Row],[StDev Demand]]/Table5[[#This Row],[Mean Demand]]</f>
        <v>0.16241263650976778</v>
      </c>
      <c r="E10">
        <f>AVERAGEIFS(Purchase_Orders!I10:I69,Purchase_Orders!B10:B69,Table5[[#This Row],[SKU]])</f>
        <v>1540.25</v>
      </c>
      <c r="F10" cm="1">
        <f t="array" ref="F10">STDEV(IF(Purchase_Orders!B10:B69=Table5[[#This Row],[SKU]],Purchase_Orders!I10:I69))</f>
        <v>168.92281274791355</v>
      </c>
      <c r="G10">
        <f>Table5[[#This Row],[ StDev Orders]]/Table5[[#This Row],[ Mean Orders ]]</f>
        <v>0.10967233419763905</v>
      </c>
      <c r="H10">
        <f>Table5[[#This Row],[CV Orders]]/Table5[[#This Row],[ CV Demand ]]</f>
        <v>0.67526971148604664</v>
      </c>
      <c r="I10" t="str">
        <f>IF(Table5[[#This Row],[Bullwhip Ratio]]&gt;1.5,"High Bullwhip",IF(Table5[[#This Row],[Bullwhip Ratio]]&gt;1,"Moderate Bullwhip","Stable"))</f>
        <v>Stable</v>
      </c>
    </row>
    <row r="11" spans="1:9" x14ac:dyDescent="0.25">
      <c r="A11" t="str">
        <f>Table2[[#This Row],[SKU_ID]]</f>
        <v>SKU010</v>
      </c>
      <c r="B11">
        <f>AVERAGEIF(Demand_Data!B11:B1090,Table5[[#This Row],[SKU]],Demand_Data!H11:H1090)</f>
        <v>3469.6388888888887</v>
      </c>
      <c r="C11" cm="1">
        <f t="array" ref="C11">STDEV(IF(Demand_Data!B11:B1090=Table5[[#This Row],[SKU]],Demand_Data!H11:H1090))</f>
        <v>575.82578315916135</v>
      </c>
      <c r="D11">
        <f>Table5[[#This Row],[StDev Demand]]/Table5[[#This Row],[Mean Demand]]</f>
        <v>0.16596130075760213</v>
      </c>
      <c r="E11">
        <f>AVERAGEIFS(Purchase_Orders!I11:I70,Purchase_Orders!B11:B70,Table5[[#This Row],[SKU]])</f>
        <v>2043.25</v>
      </c>
      <c r="F11" cm="1">
        <f t="array" ref="F11">STDEV(IF(Purchase_Orders!B11:B70=Table5[[#This Row],[SKU]],Purchase_Orders!I11:I70))</f>
        <v>292.70961150373364</v>
      </c>
      <c r="G11">
        <f>Table5[[#This Row],[ StDev Orders]]/Table5[[#This Row],[ Mean Orders ]]</f>
        <v>0.14325687581242316</v>
      </c>
      <c r="H11">
        <f>Table5[[#This Row],[CV Orders]]/Table5[[#This Row],[ CV Demand ]]</f>
        <v>0.86319446255521737</v>
      </c>
      <c r="I11" t="str">
        <f>IF(Table5[[#This Row],[Bullwhip Ratio]]&gt;1.5,"High Bullwhip",IF(Table5[[#This Row],[Bullwhip Ratio]]&gt;1,"Moderate Bullwhip","Stable"))</f>
        <v>Stable</v>
      </c>
    </row>
    <row r="12" spans="1:9" x14ac:dyDescent="0.25">
      <c r="A12" t="str">
        <f>Table2[[#This Row],[SKU_ID]]</f>
        <v>SKU011</v>
      </c>
      <c r="B12">
        <f>AVERAGEIF(Demand_Data!B12:B1091,Table5[[#This Row],[SKU]],Demand_Data!H12:H1091)</f>
        <v>3728.4444444444443</v>
      </c>
      <c r="C12" cm="1">
        <f t="array" ref="C12">STDEV(IF(Demand_Data!B12:B1091=Table5[[#This Row],[SKU]],Demand_Data!H12:H1091))</f>
        <v>601.26272968607191</v>
      </c>
      <c r="D12">
        <f>Table5[[#This Row],[StDev Demand]]/Table5[[#This Row],[Mean Demand]]</f>
        <v>0.16126369552910499</v>
      </c>
      <c r="E12">
        <f>AVERAGEIFS(Purchase_Orders!I12:I71,Purchase_Orders!B12:B71,Table5[[#This Row],[SKU]])</f>
        <v>2240.5</v>
      </c>
      <c r="F12" cm="1">
        <f t="array" ref="F12">STDEV(IF(Purchase_Orders!B12:B71=Table5[[#This Row],[SKU]],Purchase_Orders!I12:I71))</f>
        <v>382.90164098194549</v>
      </c>
      <c r="G12">
        <f>Table5[[#This Row],[ StDev Orders]]/Table5[[#This Row],[ Mean Orders ]]</f>
        <v>0.17090008524077013</v>
      </c>
      <c r="H12">
        <f>Table5[[#This Row],[CV Orders]]/Table5[[#This Row],[ CV Demand ]]</f>
        <v>1.0597554811084307</v>
      </c>
      <c r="I12" t="str">
        <f>IF(Table5[[#This Row],[Bullwhip Ratio]]&gt;1.5,"High Bullwhip",IF(Table5[[#This Row],[Bullwhip Ratio]]&gt;1,"Moderate Bullwhip","Stable"))</f>
        <v>Moderate Bullwhip</v>
      </c>
    </row>
    <row r="13" spans="1:9" x14ac:dyDescent="0.25">
      <c r="A13" t="str">
        <f>Table2[[#This Row],[SKU_ID]]</f>
        <v>SKU012</v>
      </c>
      <c r="B13">
        <f>AVERAGEIF(Demand_Data!B13:B1092,Table5[[#This Row],[SKU]],Demand_Data!H13:H1092)</f>
        <v>1447.8611111111111</v>
      </c>
      <c r="C13" cm="1">
        <f t="array" ref="C13">STDEV(IF(Demand_Data!B13:B1092=Table5[[#This Row],[SKU]],Demand_Data!H13:H1092))</f>
        <v>228.54206045262444</v>
      </c>
      <c r="D13">
        <f>Table5[[#This Row],[StDev Demand]]/Table5[[#This Row],[Mean Demand]]</f>
        <v>0.15784805510608521</v>
      </c>
      <c r="E13">
        <f>AVERAGEIFS(Purchase_Orders!I13:I72,Purchase_Orders!B13:B72,Table5[[#This Row],[SKU]])</f>
        <v>859.25</v>
      </c>
      <c r="F13" cm="1">
        <f t="array" ref="F13">STDEV(IF(Purchase_Orders!B13:B72=Table5[[#This Row],[SKU]],Purchase_Orders!I13:I72))</f>
        <v>187.54977117199226</v>
      </c>
      <c r="G13">
        <f>Table5[[#This Row],[ StDev Orders]]/Table5[[#This Row],[ Mean Orders ]]</f>
        <v>0.21827148230665377</v>
      </c>
      <c r="H13">
        <f>Table5[[#This Row],[CV Orders]]/Table5[[#This Row],[ CV Demand ]]</f>
        <v>1.382794879290465</v>
      </c>
      <c r="I13" t="str">
        <f>IF(Table5[[#This Row],[Bullwhip Ratio]]&gt;1.5,"High Bullwhip",IF(Table5[[#This Row],[Bullwhip Ratio]]&gt;1,"Moderate Bullwhip","Stable"))</f>
        <v>Moderate Bullwhip</v>
      </c>
    </row>
    <row r="14" spans="1:9" x14ac:dyDescent="0.25">
      <c r="A14" t="str">
        <f>Table2[[#This Row],[SKU_ID]]</f>
        <v>SKU013</v>
      </c>
      <c r="B14">
        <f>AVERAGEIF(Demand_Data!B14:B1093,Table5[[#This Row],[SKU]],Demand_Data!H14:H1093)</f>
        <v>4060.2361111111113</v>
      </c>
      <c r="C14" cm="1">
        <f t="array" ref="C14">STDEV(IF(Demand_Data!B14:B1093=Table5[[#This Row],[SKU]],Demand_Data!H14:H1093))</f>
        <v>598.01174073583513</v>
      </c>
      <c r="D14">
        <f>Table5[[#This Row],[StDev Demand]]/Table5[[#This Row],[Mean Demand]]</f>
        <v>0.14728496677799979</v>
      </c>
      <c r="E14">
        <f>AVERAGEIFS(Purchase_Orders!I14:I73,Purchase_Orders!B14:B73,Table5[[#This Row],[SKU]])</f>
        <v>2581.5</v>
      </c>
      <c r="F14" cm="1">
        <f t="array" ref="F14">STDEV(IF(Purchase_Orders!B14:B73=Table5[[#This Row],[SKU]],Purchase_Orders!I14:I73))</f>
        <v>532.53513186142629</v>
      </c>
      <c r="G14">
        <f>Table5[[#This Row],[ StDev Orders]]/Table5[[#This Row],[ Mean Orders ]]</f>
        <v>0.2062890303549976</v>
      </c>
      <c r="H14">
        <f>Table5[[#This Row],[CV Orders]]/Table5[[#This Row],[ CV Demand ]]</f>
        <v>1.4006115822121457</v>
      </c>
      <c r="I14" t="str">
        <f>IF(Table5[[#This Row],[Bullwhip Ratio]]&gt;1.5,"High Bullwhip",IF(Table5[[#This Row],[Bullwhip Ratio]]&gt;1,"Moderate Bullwhip","Stable"))</f>
        <v>Moderate Bullwhip</v>
      </c>
    </row>
    <row r="15" spans="1:9" x14ac:dyDescent="0.25">
      <c r="A15" t="str">
        <f>Table2[[#This Row],[SKU_ID]]</f>
        <v>SKU014</v>
      </c>
      <c r="B15">
        <f>AVERAGEIF(Demand_Data!B15:B1094,Table5[[#This Row],[SKU]],Demand_Data!H15:H1094)</f>
        <v>3769.7638888888887</v>
      </c>
      <c r="C15" cm="1">
        <f t="array" ref="C15">STDEV(IF(Demand_Data!B15:B1094=Table5[[#This Row],[SKU]],Demand_Data!H15:H1094))</f>
        <v>628.61012555098705</v>
      </c>
      <c r="D15">
        <f>Table5[[#This Row],[StDev Demand]]/Table5[[#This Row],[Mean Demand]]</f>
        <v>0.16675052976229379</v>
      </c>
      <c r="E15">
        <f>AVERAGEIFS(Purchase_Orders!I15:I74,Purchase_Orders!B15:B74,Table5[[#This Row],[SKU]])</f>
        <v>1945.5</v>
      </c>
      <c r="F15" cm="1">
        <f t="array" ref="F15">STDEV(IF(Purchase_Orders!B15:B74=Table5[[#This Row],[SKU]],Purchase_Orders!I15:I74))</f>
        <v>536.7696588543979</v>
      </c>
      <c r="G15">
        <f>Table5[[#This Row],[ StDev Orders]]/Table5[[#This Row],[ Mean Orders ]]</f>
        <v>0.27590319139264863</v>
      </c>
      <c r="H15">
        <f>Table5[[#This Row],[CV Orders]]/Table5[[#This Row],[ CV Demand ]]</f>
        <v>1.6545865958324337</v>
      </c>
      <c r="I15" t="str">
        <f>IF(Table5[[#This Row],[Bullwhip Ratio]]&gt;1.5,"High Bullwhip",IF(Table5[[#This Row],[Bullwhip Ratio]]&gt;1,"Moderate Bullwhip","Stable"))</f>
        <v>High Bullwhip</v>
      </c>
    </row>
    <row r="16" spans="1:9" x14ac:dyDescent="0.25">
      <c r="A16" t="str">
        <f>Table2[[#This Row],[SKU_ID]]</f>
        <v>SKU015</v>
      </c>
      <c r="B16">
        <f>AVERAGEIF(Demand_Data!B16:B1095,Table5[[#This Row],[SKU]],Demand_Data!H16:H1095)</f>
        <v>770.06944444444446</v>
      </c>
      <c r="C16" cm="1">
        <f t="array" ref="C16">STDEV(IF(Demand_Data!B16:B1095=Table5[[#This Row],[SKU]],Demand_Data!H16:H1095))</f>
        <v>115.85570510475861</v>
      </c>
      <c r="D16">
        <f>Table5[[#This Row],[StDev Demand]]/Table5[[#This Row],[Mean Demand]]</f>
        <v>0.15044838610411435</v>
      </c>
      <c r="E16">
        <f>AVERAGEIFS(Purchase_Orders!I16:I75,Purchase_Orders!B16:B75,Table5[[#This Row],[SKU]])</f>
        <v>455.5</v>
      </c>
      <c r="F16" cm="1">
        <f t="array" ref="F16">STDEV(IF(Purchase_Orders!B16:B75=Table5[[#This Row],[SKU]],Purchase_Orders!I16:I75))</f>
        <v>71.355915428692157</v>
      </c>
      <c r="G16">
        <f>Table5[[#This Row],[ StDev Orders]]/Table5[[#This Row],[ Mean Orders ]]</f>
        <v>0.15665404045816061</v>
      </c>
      <c r="H16">
        <f>Table5[[#This Row],[CV Orders]]/Table5[[#This Row],[ CV Demand ]]</f>
        <v>1.0412477296350111</v>
      </c>
      <c r="I16" t="str">
        <f>IF(Table5[[#This Row],[Bullwhip Ratio]]&gt;1.5,"High Bullwhip",IF(Table5[[#This Row],[Bullwhip Ratio]]&gt;1,"Moderate Bullwhip","Stable"))</f>
        <v>Moderate Bullwhip</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7F686-0815-4D7E-88B5-6D42846CDF46}">
  <dimension ref="A1:I16"/>
  <sheetViews>
    <sheetView workbookViewId="0">
      <selection activeCell="O30" sqref="O30"/>
    </sheetView>
  </sheetViews>
  <sheetFormatPr defaultRowHeight="15" x14ac:dyDescent="0.25"/>
  <cols>
    <col min="2" max="2" width="22.85546875" customWidth="1"/>
    <col min="3" max="3" width="20.7109375" customWidth="1"/>
    <col min="4" max="4" width="14.28515625" customWidth="1"/>
    <col min="5" max="5" width="14" customWidth="1"/>
    <col min="6" max="6" width="13.85546875" customWidth="1"/>
    <col min="7" max="7" width="19.140625" customWidth="1"/>
    <col min="9" max="9" width="19.85546875" customWidth="1"/>
  </cols>
  <sheetData>
    <row r="1" spans="1:9" x14ac:dyDescent="0.25">
      <c r="A1" t="s">
        <v>388</v>
      </c>
      <c r="B1" t="s">
        <v>357</v>
      </c>
      <c r="C1" t="s">
        <v>397</v>
      </c>
      <c r="D1" t="s">
        <v>398</v>
      </c>
      <c r="E1" t="s">
        <v>399</v>
      </c>
      <c r="F1" t="s">
        <v>400</v>
      </c>
      <c r="G1" t="s">
        <v>401</v>
      </c>
      <c r="H1" t="s">
        <v>402</v>
      </c>
      <c r="I1" t="s">
        <v>11</v>
      </c>
    </row>
    <row r="2" spans="1:9" x14ac:dyDescent="0.25">
      <c r="A2" t="str">
        <f>Table2[[#This Row],[SKU_ID]]</f>
        <v>SKU001</v>
      </c>
      <c r="B2" t="str">
        <f>Table2[[#This Row],[Product_Name]]</f>
        <v>Surf Excel 1kg</v>
      </c>
      <c r="C2">
        <f>SUMIF(Table3[SKU_ID],Table6[[#This Row],[SKU]],Table3[Closing_Stock])</f>
        <v>9728</v>
      </c>
      <c r="D2">
        <f>SUMIF(Purchase_Orders!B2:B61,Table6[[#This Row],[SKU]],Purchase_Orders!I2:I61)</f>
        <v>10682</v>
      </c>
      <c r="E2">
        <f>Table6[[#This Row],[Current Stock]]+Table6[[#This Row],[Incoming PO]]</f>
        <v>20410</v>
      </c>
      <c r="F2">
        <f>SUMIF(Table1[Product],Table6[[#This Row],[Product]],Table1[Total forecast])</f>
        <v>87262.832647462288</v>
      </c>
      <c r="G2">
        <f>Table6[[#This Row],[Total Supply]]-Table6[[#This Row],[6M Forecast]]</f>
        <v>-66852.832647462288</v>
      </c>
      <c r="H2">
        <f>(Table6[[#This Row],[Gap]]/Table6[[#This Row],[6M Forecast]])*100</f>
        <v>-76.610889904920427</v>
      </c>
      <c r="I2" t="str">
        <f>IF(Table6[[#This Row],[Gap]]&gt;0,"surplus",IF(Table6[[#This Row],[Gap]]&lt;0,"shortage","ok"))</f>
        <v>shortage</v>
      </c>
    </row>
    <row r="3" spans="1:9" x14ac:dyDescent="0.25">
      <c r="A3" t="str">
        <f>Table2[[#This Row],[SKU_ID]]</f>
        <v>SKU002</v>
      </c>
      <c r="B3" t="str">
        <f>Table2[[#This Row],[Product_Name]]</f>
        <v>Surf Excel 500g</v>
      </c>
      <c r="C3">
        <f>SUMIF(Table3[SKU_ID],Table6[[#This Row],[SKU]],Table3[Closing_Stock])</f>
        <v>17587</v>
      </c>
      <c r="D3">
        <f>SUMIF(Purchase_Orders!B3:B62,Table6[[#This Row],[SKU]],Purchase_Orders!I3:I62)</f>
        <v>15611</v>
      </c>
      <c r="E3">
        <f>Table6[[#This Row],[Current Stock]]+Table6[[#This Row],[Incoming PO]]</f>
        <v>33198</v>
      </c>
      <c r="F3">
        <f>SUMIF(Table1[Product],Table6[[#This Row],[Product]],Table1[Total forecast])</f>
        <v>148302.8683127572</v>
      </c>
      <c r="G3">
        <f>Table6[[#This Row],[Total Supply]]-Table6[[#This Row],[6M Forecast]]</f>
        <v>-115104.8683127572</v>
      </c>
      <c r="H3">
        <f>(Table6[[#This Row],[Gap]]/Table6[[#This Row],[6M Forecast]])*100</f>
        <v>-77.61472830721759</v>
      </c>
      <c r="I3" t="str">
        <f>IF(Table6[[#This Row],[Gap]]&gt;0,"surplus",IF(Table6[[#This Row],[Gap]]&lt;0,"shortage","ok"))</f>
        <v>shortage</v>
      </c>
    </row>
    <row r="4" spans="1:9" x14ac:dyDescent="0.25">
      <c r="A4" t="str">
        <f>Table2[[#This Row],[SKU_ID]]</f>
        <v>SKU003</v>
      </c>
      <c r="B4" t="str">
        <f>Table2[[#This Row],[Product_Name]]</f>
        <v>Vim Bar 200g</v>
      </c>
      <c r="C4">
        <f>SUMIF(Table3[SKU_ID],Table6[[#This Row],[SKU]],Table3[Closing_Stock])</f>
        <v>25609</v>
      </c>
      <c r="D4">
        <f>SUMIF(Purchase_Orders!B4:B63,Table6[[#This Row],[SKU]],Purchase_Orders!I4:I63)</f>
        <v>23371</v>
      </c>
      <c r="E4">
        <f>Table6[[#This Row],[Current Stock]]+Table6[[#This Row],[Incoming PO]]</f>
        <v>48980</v>
      </c>
      <c r="F4">
        <f>SUMIF(Table1[Product],Table6[[#This Row],[Product]],Table1[Total forecast])</f>
        <v>201836.47873799727</v>
      </c>
      <c r="G4">
        <f>Table6[[#This Row],[Total Supply]]-Table6[[#This Row],[6M Forecast]]</f>
        <v>-152856.47873799727</v>
      </c>
      <c r="H4">
        <f>(Table6[[#This Row],[Gap]]/Table6[[#This Row],[6M Forecast]])*100</f>
        <v>-75.732830702233642</v>
      </c>
      <c r="I4" t="str">
        <f>IF(Table6[[#This Row],[Gap]]&gt;0,"surplus",IF(Table6[[#This Row],[Gap]]&lt;0,"shortage","ok"))</f>
        <v>shortage</v>
      </c>
    </row>
    <row r="5" spans="1:9" x14ac:dyDescent="0.25">
      <c r="A5" t="str">
        <f>Table2[[#This Row],[SKU_ID]]</f>
        <v>SKU004</v>
      </c>
      <c r="B5" t="str">
        <f>Table2[[#This Row],[Product_Name]]</f>
        <v>Vim Liquid 500ml</v>
      </c>
      <c r="C5">
        <f>SUMIF(Table3[SKU_ID],Table6[[#This Row],[SKU]],Table3[Closing_Stock])</f>
        <v>6926</v>
      </c>
      <c r="D5">
        <f>SUMIF(Purchase_Orders!B5:B64,Table6[[#This Row],[SKU]],Purchase_Orders!I5:I64)</f>
        <v>7980</v>
      </c>
      <c r="E5">
        <f>Table6[[#This Row],[Current Stock]]+Table6[[#This Row],[Incoming PO]]</f>
        <v>14906</v>
      </c>
      <c r="F5">
        <f>SUMIF(Table1[Product],Table6[[#This Row],[Product]],Table1[Total forecast])</f>
        <v>66048.072702331963</v>
      </c>
      <c r="G5">
        <f>Table6[[#This Row],[Total Supply]]-Table6[[#This Row],[6M Forecast]]</f>
        <v>-51142.072702331963</v>
      </c>
      <c r="H5">
        <f>(Table6[[#This Row],[Gap]]/Table6[[#This Row],[6M Forecast]])*100</f>
        <v>-77.431589764656806</v>
      </c>
      <c r="I5" t="str">
        <f>IF(Table6[[#This Row],[Gap]]&gt;0,"surplus",IF(Table6[[#This Row],[Gap]]&lt;0,"shortage","ok"))</f>
        <v>shortage</v>
      </c>
    </row>
    <row r="6" spans="1:9" x14ac:dyDescent="0.25">
      <c r="A6" t="str">
        <f>Table2[[#This Row],[SKU_ID]]</f>
        <v>SKU005</v>
      </c>
      <c r="B6" t="str">
        <f>Table2[[#This Row],[Product_Name]]</f>
        <v>Lux Soap 100g</v>
      </c>
      <c r="C6">
        <f>SUMIF(Table3[SKU_ID],Table6[[#This Row],[SKU]],Table3[Closing_Stock])</f>
        <v>43015</v>
      </c>
      <c r="D6">
        <f>SUMIF(Purchase_Orders!B6:B65,Table6[[#This Row],[SKU]],Purchase_Orders!I6:I65)</f>
        <v>29409</v>
      </c>
      <c r="E6">
        <f>Table6[[#This Row],[Current Stock]]+Table6[[#This Row],[Incoming PO]]</f>
        <v>72424</v>
      </c>
      <c r="F6">
        <f>SUMIF(Table1[Product],Table6[[#This Row],[Product]],Table1[Total forecast])</f>
        <v>246075.33333333331</v>
      </c>
      <c r="G6">
        <f>Table6[[#This Row],[Total Supply]]-Table6[[#This Row],[6M Forecast]]</f>
        <v>-173651.33333333331</v>
      </c>
      <c r="H6">
        <f>(Table6[[#This Row],[Gap]]/Table6[[#This Row],[6M Forecast]])*100</f>
        <v>-70.56836253396655</v>
      </c>
      <c r="I6" t="str">
        <f>IF(Table6[[#This Row],[Gap]]&gt;0,"surplus",IF(Table6[[#This Row],[Gap]]&lt;0,"shortage","ok"))</f>
        <v>shortage</v>
      </c>
    </row>
    <row r="7" spans="1:9" x14ac:dyDescent="0.25">
      <c r="A7" t="str">
        <f>Table2[[#This Row],[SKU_ID]]</f>
        <v>SKU006</v>
      </c>
      <c r="B7" t="str">
        <f>Table2[[#This Row],[Product_Name]]</f>
        <v>Lifebuoy 125g</v>
      </c>
      <c r="C7">
        <f>SUMIF(Table3[SKU_ID],Table6[[#This Row],[SKU]],Table3[Closing_Stock])</f>
        <v>25833</v>
      </c>
      <c r="D7">
        <f>SUMIF(Purchase_Orders!B7:B66,Table6[[#This Row],[SKU]],Purchase_Orders!I7:I66)</f>
        <v>23121</v>
      </c>
      <c r="E7">
        <f>Table6[[#This Row],[Current Stock]]+Table6[[#This Row],[Incoming PO]]</f>
        <v>48954</v>
      </c>
      <c r="F7">
        <f>SUMIF(Table1[Product],Table6[[#This Row],[Product]],Table1[Total forecast])</f>
        <v>236744.91906721535</v>
      </c>
      <c r="G7">
        <f>Table6[[#This Row],[Total Supply]]-Table6[[#This Row],[6M Forecast]]</f>
        <v>-187790.91906721535</v>
      </c>
      <c r="H7">
        <f>(Table6[[#This Row],[Gap]]/Table6[[#This Row],[6M Forecast]])*100</f>
        <v>-79.322048307148151</v>
      </c>
      <c r="I7" t="str">
        <f>IF(Table6[[#This Row],[Gap]]&gt;0,"surplus",IF(Table6[[#This Row],[Gap]]&lt;0,"shortage","ok"))</f>
        <v>shortage</v>
      </c>
    </row>
    <row r="8" spans="1:9" x14ac:dyDescent="0.25">
      <c r="A8" t="str">
        <f>Table2[[#This Row],[SKU_ID]]</f>
        <v>SKU007</v>
      </c>
      <c r="B8" t="str">
        <f>Table2[[#This Row],[Product_Name]]</f>
        <v>Dove Shampoo 180ml</v>
      </c>
      <c r="C8">
        <f>SUMIF(Table3[SKU_ID],Table6[[#This Row],[SKU]],Table3[Closing_Stock])</f>
        <v>5183</v>
      </c>
      <c r="D8">
        <f>SUMIF(Purchase_Orders!B8:B67,Table6[[#This Row],[SKU]],Purchase_Orders!I8:I67)</f>
        <v>5359</v>
      </c>
      <c r="E8">
        <f>Table6[[#This Row],[Current Stock]]+Table6[[#This Row],[Incoming PO]]</f>
        <v>10542</v>
      </c>
      <c r="F8">
        <f>SUMIF(Table1[Product],Table6[[#This Row],[Product]],Table1[Total forecast])</f>
        <v>37092.497942386828</v>
      </c>
      <c r="G8">
        <f>Table6[[#This Row],[Total Supply]]-Table6[[#This Row],[6M Forecast]]</f>
        <v>-26550.497942386828</v>
      </c>
      <c r="H8">
        <f>(Table6[[#This Row],[Gap]]/Table6[[#This Row],[6M Forecast]])*100</f>
        <v>-71.579158631014423</v>
      </c>
      <c r="I8" t="str">
        <f>IF(Table6[[#This Row],[Gap]]&gt;0,"surplus",IF(Table6[[#This Row],[Gap]]&lt;0,"shortage","ok"))</f>
        <v>shortage</v>
      </c>
    </row>
    <row r="9" spans="1:9" x14ac:dyDescent="0.25">
      <c r="A9" t="str">
        <f>Table2[[#This Row],[SKU_ID]]</f>
        <v>SKU008</v>
      </c>
      <c r="B9" t="str">
        <f>Table2[[#This Row],[Product_Name]]</f>
        <v>Sunsilk Shampoo 180ml</v>
      </c>
      <c r="C9">
        <f>SUMIF(Table3[SKU_ID],Table6[[#This Row],[SKU]],Table3[Closing_Stock])</f>
        <v>5774</v>
      </c>
      <c r="D9">
        <f>SUMIF(Purchase_Orders!B9:B68,Table6[[#This Row],[SKU]],Purchase_Orders!I9:I68)</f>
        <v>5245</v>
      </c>
      <c r="E9">
        <f>Table6[[#This Row],[Current Stock]]+Table6[[#This Row],[Incoming PO]]</f>
        <v>11019</v>
      </c>
      <c r="F9">
        <f>SUMIF(Table1[Product],Table6[[#This Row],[Product]],Table1[Total forecast])</f>
        <v>45356.390946502062</v>
      </c>
      <c r="G9">
        <f>Table6[[#This Row],[Total Supply]]-Table6[[#This Row],[6M Forecast]]</f>
        <v>-34337.390946502062</v>
      </c>
      <c r="H9">
        <f>(Table6[[#This Row],[Gap]]/Table6[[#This Row],[6M Forecast]])*100</f>
        <v>-75.70573899277629</v>
      </c>
      <c r="I9" t="str">
        <f>IF(Table6[[#This Row],[Gap]]&gt;0,"surplus",IF(Table6[[#This Row],[Gap]]&lt;0,"shortage","ok"))</f>
        <v>shortage</v>
      </c>
    </row>
    <row r="10" spans="1:9" x14ac:dyDescent="0.25">
      <c r="A10" t="str">
        <f>Table2[[#This Row],[SKU_ID]]</f>
        <v>SKU009</v>
      </c>
      <c r="B10" t="str">
        <f>Table2[[#This Row],[Product_Name]]</f>
        <v>Vaseline 100ml</v>
      </c>
      <c r="C10">
        <f>SUMIF(Table3[SKU_ID],Table6[[#This Row],[SKU]],Table3[Closing_Stock])</f>
        <v>4156</v>
      </c>
      <c r="D10">
        <f>SUMIF(Purchase_Orders!B10:B69,Table6[[#This Row],[SKU]],Purchase_Orders!I10:I69)</f>
        <v>6161</v>
      </c>
      <c r="E10">
        <f>Table6[[#This Row],[Current Stock]]+Table6[[#This Row],[Incoming PO]]</f>
        <v>10317</v>
      </c>
      <c r="F10">
        <f>SUMIF(Table1[Product],Table6[[#This Row],[Product]],Table1[Total forecast])</f>
        <v>58658.301783264746</v>
      </c>
      <c r="G10">
        <f>Table6[[#This Row],[Total Supply]]-Table6[[#This Row],[6M Forecast]]</f>
        <v>-48341.301783264746</v>
      </c>
      <c r="H10">
        <f>(Table6[[#This Row],[Gap]]/Table6[[#This Row],[6M Forecast]])*100</f>
        <v>-82.411696748194217</v>
      </c>
      <c r="I10" t="str">
        <f>IF(Table6[[#This Row],[Gap]]&gt;0,"surplus",IF(Table6[[#This Row],[Gap]]&lt;0,"shortage","ok"))</f>
        <v>shortage</v>
      </c>
    </row>
    <row r="11" spans="1:9" x14ac:dyDescent="0.25">
      <c r="A11" t="str">
        <f>Table2[[#This Row],[SKU_ID]]</f>
        <v>SKU010</v>
      </c>
      <c r="B11" t="str">
        <f>Table2[[#This Row],[Product_Name]]</f>
        <v>Clinic Plus 80ml</v>
      </c>
      <c r="C11">
        <f>SUMIF(Table3[SKU_ID],Table6[[#This Row],[SKU]],Table3[Closing_Stock])</f>
        <v>10375</v>
      </c>
      <c r="D11">
        <f>SUMIF(Purchase_Orders!B11:B70,Table6[[#This Row],[SKU]],Purchase_Orders!I11:I70)</f>
        <v>8173</v>
      </c>
      <c r="E11">
        <f>Table6[[#This Row],[Current Stock]]+Table6[[#This Row],[Incoming PO]]</f>
        <v>18548</v>
      </c>
      <c r="F11">
        <f>SUMIF(Table1[Product],Table6[[#This Row],[Product]],Table1[Total forecast])</f>
        <v>75995.960219478729</v>
      </c>
      <c r="G11">
        <f>Table6[[#This Row],[Total Supply]]-Table6[[#This Row],[6M Forecast]]</f>
        <v>-57447.960219478729</v>
      </c>
      <c r="H11">
        <f>(Table6[[#This Row],[Gap]]/Table6[[#This Row],[6M Forecast]])*100</f>
        <v>-75.593439511215081</v>
      </c>
      <c r="I11" t="str">
        <f>IF(Table6[[#This Row],[Gap]]&gt;0,"surplus",IF(Table6[[#This Row],[Gap]]&lt;0,"shortage","ok"))</f>
        <v>shortage</v>
      </c>
    </row>
    <row r="12" spans="1:9" x14ac:dyDescent="0.25">
      <c r="A12" t="str">
        <f>Table2[[#This Row],[SKU_ID]]</f>
        <v>SKU011</v>
      </c>
      <c r="B12" t="str">
        <f>Table2[[#This Row],[Product_Name]]</f>
        <v>Rin Powder 1kg</v>
      </c>
      <c r="C12">
        <f>SUMIF(Table3[SKU_ID],Table6[[#This Row],[SKU]],Table3[Closing_Stock])</f>
        <v>12314</v>
      </c>
      <c r="D12">
        <f>SUMIF(Purchase_Orders!B12:B71,Table6[[#This Row],[SKU]],Purchase_Orders!I12:I71)</f>
        <v>8962</v>
      </c>
      <c r="E12">
        <f>Table6[[#This Row],[Current Stock]]+Table6[[#This Row],[Incoming PO]]</f>
        <v>21276</v>
      </c>
      <c r="F12">
        <f>SUMIF(Table1[Product],Table6[[#This Row],[Product]],Table1[Total forecast])</f>
        <v>80929.322359396436</v>
      </c>
      <c r="G12">
        <f>Table6[[#This Row],[Total Supply]]-Table6[[#This Row],[6M Forecast]]</f>
        <v>-59653.322359396436</v>
      </c>
      <c r="H12">
        <f>(Table6[[#This Row],[Gap]]/Table6[[#This Row],[6M Forecast]])*100</f>
        <v>-73.710393983634148</v>
      </c>
      <c r="I12" t="str">
        <f>IF(Table6[[#This Row],[Gap]]&gt;0,"surplus",IF(Table6[[#This Row],[Gap]]&lt;0,"shortage","ok"))</f>
        <v>shortage</v>
      </c>
    </row>
    <row r="13" spans="1:9" x14ac:dyDescent="0.25">
      <c r="A13" t="str">
        <f>Table2[[#This Row],[SKU_ID]]</f>
        <v>SKU012</v>
      </c>
      <c r="B13" t="str">
        <f>Table2[[#This Row],[Product_Name]]</f>
        <v>Comfort 200ml</v>
      </c>
      <c r="C13">
        <f>SUMIF(Table3[SKU_ID],Table6[[#This Row],[SKU]],Table3[Closing_Stock])</f>
        <v>4396</v>
      </c>
      <c r="D13">
        <f>SUMIF(Purchase_Orders!B13:B72,Table6[[#This Row],[SKU]],Purchase_Orders!I13:I72)</f>
        <v>3437</v>
      </c>
      <c r="E13">
        <f>Table6[[#This Row],[Current Stock]]+Table6[[#This Row],[Incoming PO]]</f>
        <v>7833</v>
      </c>
      <c r="F13">
        <f>SUMIF(Table1[Product],Table6[[#This Row],[Product]],Table1[Total forecast])</f>
        <v>29866.572016460905</v>
      </c>
      <c r="G13">
        <f>Table6[[#This Row],[Total Supply]]-Table6[[#This Row],[6M Forecast]]</f>
        <v>-22033.572016460905</v>
      </c>
      <c r="H13">
        <f>(Table6[[#This Row],[Gap]]/Table6[[#This Row],[6M Forecast]])*100</f>
        <v>-73.773354385354779</v>
      </c>
      <c r="I13" t="str">
        <f>IF(Table6[[#This Row],[Gap]]&gt;0,"surplus",IF(Table6[[#This Row],[Gap]]&lt;0,"shortage","ok"))</f>
        <v>shortage</v>
      </c>
    </row>
    <row r="14" spans="1:9" x14ac:dyDescent="0.25">
      <c r="A14" t="str">
        <f>Table2[[#This Row],[SKU_ID]]</f>
        <v>SKU013</v>
      </c>
      <c r="B14" t="str">
        <f>Table2[[#This Row],[Product_Name]]</f>
        <v>Pepsodent 150g</v>
      </c>
      <c r="C14">
        <f>SUMIF(Table3[SKU_ID],Table6[[#This Row],[SKU]],Table3[Closing_Stock])</f>
        <v>11344</v>
      </c>
      <c r="D14">
        <f>SUMIF(Purchase_Orders!B14:B73,Table6[[#This Row],[SKU]],Purchase_Orders!I14:I73)</f>
        <v>10326</v>
      </c>
      <c r="E14">
        <f>Table6[[#This Row],[Current Stock]]+Table6[[#This Row],[Incoming PO]]</f>
        <v>21670</v>
      </c>
      <c r="F14">
        <f>SUMIF(Table1[Product],Table6[[#This Row],[Product]],Table1[Total forecast])</f>
        <v>83318.087791495185</v>
      </c>
      <c r="G14">
        <f>Table6[[#This Row],[Total Supply]]-Table6[[#This Row],[6M Forecast]]</f>
        <v>-61648.087791495185</v>
      </c>
      <c r="H14">
        <f>(Table6[[#This Row],[Gap]]/Table6[[#This Row],[6M Forecast]])*100</f>
        <v>-73.991241788662364</v>
      </c>
      <c r="I14" t="str">
        <f>IF(Table6[[#This Row],[Gap]]&gt;0,"surplus",IF(Table6[[#This Row],[Gap]]&lt;0,"shortage","ok"))</f>
        <v>shortage</v>
      </c>
    </row>
    <row r="15" spans="1:9" x14ac:dyDescent="0.25">
      <c r="A15" t="str">
        <f>Table2[[#This Row],[SKU_ID]]</f>
        <v>SKU014</v>
      </c>
      <c r="B15" t="str">
        <f>Table2[[#This Row],[Product_Name]]</f>
        <v>Close Up 80g</v>
      </c>
      <c r="C15">
        <f>SUMIF(Table3[SKU_ID],Table6[[#This Row],[SKU]],Table3[Closing_Stock])</f>
        <v>11658</v>
      </c>
      <c r="D15">
        <f>SUMIF(Purchase_Orders!B15:B74,Table6[[#This Row],[SKU]],Purchase_Orders!I15:I74)</f>
        <v>7782</v>
      </c>
      <c r="E15">
        <f>Table6[[#This Row],[Current Stock]]+Table6[[#This Row],[Incoming PO]]</f>
        <v>19440</v>
      </c>
      <c r="F15">
        <f>SUMIF(Table1[Product],Table6[[#This Row],[Product]],Table1[Total forecast])</f>
        <v>82794.396433470523</v>
      </c>
      <c r="G15">
        <f>Table6[[#This Row],[Total Supply]]-Table6[[#This Row],[6M Forecast]]</f>
        <v>-63354.396433470523</v>
      </c>
      <c r="H15">
        <f>(Table6[[#This Row],[Gap]]/Table6[[#This Row],[6M Forecast]])*100</f>
        <v>-76.520150109891773</v>
      </c>
      <c r="I15" t="str">
        <f>IF(Table6[[#This Row],[Gap]]&gt;0,"surplus",IF(Table6[[#This Row],[Gap]]&lt;0,"shortage","ok"))</f>
        <v>shortage</v>
      </c>
    </row>
    <row r="16" spans="1:9" x14ac:dyDescent="0.25">
      <c r="A16" t="str">
        <f>Table2[[#This Row],[SKU_ID]]</f>
        <v>SKU015</v>
      </c>
      <c r="B16" t="str">
        <f>Table2[[#This Row],[Product_Name]]</f>
        <v>Kissan Ketchup 500g</v>
      </c>
      <c r="C16">
        <f>SUMIF(Table3[SKU_ID],Table6[[#This Row],[SKU]],Table3[Closing_Stock])</f>
        <v>2602</v>
      </c>
      <c r="D16">
        <f>SUMIF(Purchase_Orders!B16:B75,Table6[[#This Row],[SKU]],Purchase_Orders!I16:I75)</f>
        <v>1822</v>
      </c>
      <c r="E16">
        <f>Table6[[#This Row],[Current Stock]]+Table6[[#This Row],[Incoming PO]]</f>
        <v>4424</v>
      </c>
      <c r="F16">
        <f>SUMIF(Table1[Product],Table6[[#This Row],[Product]],Table1[Total forecast])</f>
        <v>15981.477366255145</v>
      </c>
      <c r="G16">
        <f>Table6[[#This Row],[Total Supply]]-Table6[[#This Row],[6M Forecast]]</f>
        <v>-11557.477366255145</v>
      </c>
      <c r="H16">
        <f>(Table6[[#This Row],[Gap]]/Table6[[#This Row],[6M Forecast]])*100</f>
        <v>-72.317953474431178</v>
      </c>
      <c r="I16" t="str">
        <f>IF(Table6[[#This Row],[Gap]]&gt;0,"surplus",IF(Table6[[#This Row],[Gap]]&lt;0,"shortage","ok"))</f>
        <v>shortage</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BDCAF8D4-6C4C-4B7B-B46A-AB62FEA04CF9}">
  <ds:schemaRefs/>
</ds:datastoreItem>
</file>

<file path=customXml/itemProps2.xml><?xml version="1.0" encoding="utf-8"?>
<ds:datastoreItem xmlns:ds="http://schemas.openxmlformats.org/officeDocument/2006/customXml" ds:itemID="{7CCD40C3-5979-49F1-9D08-510F2B8C0716}">
  <ds:schemaRefs/>
</ds:datastoreItem>
</file>

<file path=customXml/itemProps3.xml><?xml version="1.0" encoding="utf-8"?>
<ds:datastoreItem xmlns:ds="http://schemas.openxmlformats.org/officeDocument/2006/customXml" ds:itemID="{F55B1ECC-937D-4FCF-9AB3-D0E3A185D5A9}">
  <ds:schemaRefs/>
</ds:datastoreItem>
</file>

<file path=customXml/itemProps4.xml><?xml version="1.0" encoding="utf-8"?>
<ds:datastoreItem xmlns:ds="http://schemas.openxmlformats.org/officeDocument/2006/customXml" ds:itemID="{48788DDE-C747-4CE0-8B20-DF583EBE11BE}">
  <ds:schemaRefs/>
</ds:datastoreItem>
</file>

<file path=customXml/itemProps5.xml><?xml version="1.0" encoding="utf-8"?>
<ds:datastoreItem xmlns:ds="http://schemas.openxmlformats.org/officeDocument/2006/customXml" ds:itemID="{28BCF3D5-302F-475F-AB8D-9D4D73571BB2}">
  <ds:schemaRefs/>
</ds:datastoreItem>
</file>

<file path=customXml/itemProps6.xml><?xml version="1.0" encoding="utf-8"?>
<ds:datastoreItem xmlns:ds="http://schemas.openxmlformats.org/officeDocument/2006/customXml" ds:itemID="{C642423F-2E38-47AC-8219-AFE556D5549A}">
  <ds:schemaRefs/>
</ds:datastoreItem>
</file>

<file path=customXml/itemProps7.xml><?xml version="1.0" encoding="utf-8"?>
<ds:datastoreItem xmlns:ds="http://schemas.openxmlformats.org/officeDocument/2006/customXml" ds:itemID="{BAB5D96B-6E0D-4BA1-9DE5-A903F2DC3A9A}">
  <ds:schemaRefs/>
</ds:datastoreItem>
</file>

<file path=customXml/itemProps8.xml><?xml version="1.0" encoding="utf-8"?>
<ds:datastoreItem xmlns:ds="http://schemas.openxmlformats.org/officeDocument/2006/customXml" ds:itemID="{A24A59A4-E841-49D6-B05E-DB729C5667EF}">
  <ds:schemaRefs/>
</ds:datastoreItem>
</file>

<file path=customXml/itemProps9.xml><?xml version="1.0" encoding="utf-8"?>
<ds:datastoreItem xmlns:ds="http://schemas.openxmlformats.org/officeDocument/2006/customXml" ds:itemID="{022B90CB-418B-485E-8B12-21021FF8981D}">
  <ds:schemaRefs/>
</ds:datastoreItem>
</file>

<file path=customXml/itemProps10.xml><?xml version="1.0" encoding="utf-8"?>
<ds:datastoreItem xmlns:ds="http://schemas.openxmlformats.org/officeDocument/2006/customXml" ds:itemID="{B1DFD962-5C42-4674-B8BF-80E47085546C}">
  <ds:schemaRefs/>
</ds:datastoreItem>
</file>

<file path=customXml/itemProps11.xml><?xml version="1.0" encoding="utf-8"?>
<ds:datastoreItem xmlns:ds="http://schemas.openxmlformats.org/officeDocument/2006/customXml" ds:itemID="{FAC1D1C8-02D8-48AA-A5C8-F2D6AA4E0E54}">
  <ds:schemaRefs/>
</ds:datastoreItem>
</file>

<file path=customXml/itemProps12.xml><?xml version="1.0" encoding="utf-8"?>
<ds:datastoreItem xmlns:ds="http://schemas.openxmlformats.org/officeDocument/2006/customXml" ds:itemID="{7BCB90F4-88E8-4AE0-B596-5998AE31E4C9}">
  <ds:schemaRefs/>
</ds:datastoreItem>
</file>

<file path=customXml/itemProps13.xml><?xml version="1.0" encoding="utf-8"?>
<ds:datastoreItem xmlns:ds="http://schemas.openxmlformats.org/officeDocument/2006/customXml" ds:itemID="{EEA7DF18-9C8E-4F62-A561-68502278ABEE}">
  <ds:schemaRefs/>
</ds:datastoreItem>
</file>

<file path=customXml/itemProps14.xml><?xml version="1.0" encoding="utf-8"?>
<ds:datastoreItem xmlns:ds="http://schemas.openxmlformats.org/officeDocument/2006/customXml" ds:itemID="{7D1AB32F-8292-40ED-BDE4-CD29FFBCE41B}">
  <ds:schemaRefs/>
</ds:datastoreItem>
</file>

<file path=customXml/itemProps15.xml><?xml version="1.0" encoding="utf-8"?>
<ds:datastoreItem xmlns:ds="http://schemas.openxmlformats.org/officeDocument/2006/customXml" ds:itemID="{BA232093-83C3-4D79-9F68-980C17CAA9A9}">
  <ds:schemaRefs/>
</ds:datastoreItem>
</file>

<file path=customXml/itemProps16.xml><?xml version="1.0" encoding="utf-8"?>
<ds:datastoreItem xmlns:ds="http://schemas.openxmlformats.org/officeDocument/2006/customXml" ds:itemID="{F356A818-3DF8-4A7F-B2CE-B8C1D4672C0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Product_Master</vt:lpstr>
      <vt:lpstr>Demand-Pivot</vt:lpstr>
      <vt:lpstr>Demand_Data</vt:lpstr>
      <vt:lpstr>Inventory_Snapshot</vt:lpstr>
      <vt:lpstr>Supplier_Master</vt:lpstr>
      <vt:lpstr>Purchase_Orders</vt:lpstr>
      <vt:lpstr>Bull whip </vt:lpstr>
      <vt:lpstr> S&amp;OP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Rishi chandran</cp:lastModifiedBy>
  <cp:revision>0</cp:revision>
  <dcterms:created xsi:type="dcterms:W3CDTF">2026-03-07T06:30:40Z</dcterms:created>
  <dcterms:modified xsi:type="dcterms:W3CDTF">2026-04-02T11:29:36Z</dcterms:modified>
  <dc:language>en-US</dc:language>
</cp:coreProperties>
</file>